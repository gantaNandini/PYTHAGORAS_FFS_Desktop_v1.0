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_Geometry_Flaw" sheetId="2" state="visible" r:id="rId4"/>
    <sheet name="2_Material" sheetId="3" state="visible" r:id="rId5"/>
    <sheet name="3_Toughness" sheetId="4" state="visible" r:id="rId6"/>
    <sheet name="4_Crack_Growth" sheetId="5" state="visible" r:id="rId7"/>
    <sheet name="5_Loads" sheetId="6" state="visible" r:id="rId8"/>
    <sheet name="5B_Stress_Profile" sheetId="7" state="visible" r:id="rId9"/>
    <sheet name="6_Residual_Stress" sheetId="8" state="visible" r:id="rId10"/>
    <sheet name="7_Load_History" sheetId="9" state="visible" r:id="rId11"/>
    <sheet name="8_Controls" sheetId="10" state="visible" r:id="rId12"/>
    <sheet name="9_Level3" sheetId="11" state="visible" r:id="rId13"/>
    <sheet name="DB_Materials" sheetId="12" state="visible" r:id="rId14"/>
    <sheet name="DB_Growth" sheetId="13" state="visible" r:id="rId15"/>
    <sheet name="DB_Toughness" sheetId="14" state="visible" r:id="rId16"/>
    <sheet name="DB_Table9_2" sheetId="15" state="visible" r:id="rId17"/>
    <sheet name="DB_Table9F2" sheetId="16" state="visible" r:id="rId18"/>
    <sheet name="DB_Table9_3" sheetId="17" state="visible" r:id="rId19"/>
    <sheet name="DB_Lr_max" sheetId="18" state="visible" r:id="rId20"/>
    <sheet name="DB_Annex9D" sheetId="19" state="visible" r:id="rId21"/>
    <sheet name="DB_JR_Curves" sheetId="20" state="visible" r:id="rId22"/>
    <sheet name="DB_Table9F1" sheetId="21" state="visible" r:id="rId23"/>
    <sheet name="Lists" sheetId="22" state="hidden" r:id="rId24"/>
  </sheets>
  <definedNames>
    <definedName function="false" hidden="true" localSheetId="18" name="_xlnm._FilterDatabase" vbProcedure="false">DB_Annex9D!$A$1:$F$8</definedName>
    <definedName function="false" hidden="true" localSheetId="12" name="_xlnm._FilterDatabase" vbProcedure="false">DB_Growth!$A$1:$T$44</definedName>
    <definedName function="false" hidden="true" localSheetId="19" name="_xlnm._FilterDatabase" vbProcedure="false">DB_JR_Curves!$A$1:$P$10</definedName>
    <definedName function="false" hidden="true" localSheetId="17" name="_xlnm._FilterDatabase" vbProcedure="false">DB_Lr_max!$A$1:$D$7</definedName>
    <definedName function="false" hidden="true" localSheetId="11" name="_xlnm._FilterDatabase" vbProcedure="false">DB_Materials!$A$1:$AE$38</definedName>
    <definedName function="false" hidden="true" localSheetId="16" name="_xlnm._FilterDatabase" vbProcedure="false">DB_Table9_3!$A$1:$T$32</definedName>
    <definedName function="false" hidden="true" localSheetId="20" name="_xlnm._FilterDatabase" vbProcedure="false">DB_Table9F1!$A$1:$B$7</definedName>
    <definedName function="false" hidden="true" localSheetId="15" name="_xlnm._FilterDatabase" vbProcedure="false">DB_Table9F2!$A$1:$N$6</definedName>
    <definedName function="false" hidden="true" localSheetId="13" name="_xlnm._FilterDatabase" vbProcedure="false">DB_Toughness!$A$1:$E$11</definedName>
    <definedName function="false" hidden="false" name="calc_at" vbProcedure="false">1_Geometry_Flaw!$B$11</definedName>
    <definedName function="false" hidden="false" name="calc_c0" vbProcedure="false">1_Geometry_Flaw!$B$10</definedName>
    <definedName function="false" hidden="false" name="calc_gm" vbProcedure="false">4_Crack_Growth!$B$6</definedName>
    <definedName function="false" hidden="false" name="calc_sif" vbProcedure="false">5_Loads!$B$7</definedName>
    <definedName function="false" hidden="false" name="calc_su" vbProcedure="false">2_Material!$B$27</definedName>
    <definedName function="false" hidden="false" name="calc_sy" vbProcedure="false">2_Material!$B$26</definedName>
    <definedName function="false" hidden="false" name="calc_sysr" vbProcedure="false">6_Residual_Stress!$B$19</definedName>
    <definedName function="false" hidden="false" name="db_default_growth_model" vbProcedure="false">2_Material!$B$18</definedName>
    <definedName function="false" hidden="false" name="db_exemption_curve" vbProcedure="false">2_Material!$B$16</definedName>
    <definedName function="false" hidden="false" name="db_lrmax_category" vbProcedure="false">2_Material!$B$17</definedName>
    <definedName function="false" hidden="false" name="db_material_class" vbProcedure="false">2_Material!$B$12</definedName>
    <definedName function="false" hidden="false" name="db_SMTS" vbProcedure="false">2_Material!$B$14</definedName>
    <definedName function="false" hidden="false" name="db_SMYS" vbProcedure="false">2_Material!$B$13</definedName>
    <definedName function="false" hidden="false" name="GEOMETRY" vbProcedure="false">Cover!$B$16</definedName>
    <definedName function="false" hidden="false" name="in_actual_ys" vbProcedure="false">6_Residual_Stress!$B$13</definedName>
    <definedName function="false" hidden="false" name="in_a_m" vbProcedure="false">1_Geometry_Flaw!$B$7</definedName>
    <definedName function="false" hidden="false" name="in_bisection" vbProcedure="false">8_Controls!$B$7</definedName>
    <definedName function="false" hidden="false" name="in_chem_As" vbProcedure="false">3_Toughness!$B$55</definedName>
    <definedName function="false" hidden="false" name="in_chem_Mn" vbProcedure="false">3_Toughness!$B$56</definedName>
    <definedName function="false" hidden="false" name="in_chem_P" vbProcedure="false">3_Toughness!$B$52</definedName>
    <definedName function="false" hidden="false" name="in_chem_Sb" vbProcedure="false">3_Toughness!$B$53</definedName>
    <definedName function="false" hidden="false" name="in_chem_Si" vbProcedure="false">3_Toughness!$B$57</definedName>
    <definedName function="false" hidden="false" name="in_chem_Sn" vbProcedure="false">3_Toughness!$B$54</definedName>
    <definedName function="false" hidden="false" name="in_constraint" vbProcedure="false">2_Material!$B$30</definedName>
    <definedName function="false" hidden="false" name="in_crmo_route" vbProcedure="false">3_Toughness!$B$50</definedName>
    <definedName function="false" hidden="false" name="in_crmo_vintage" vbProcedure="false">3_Toughness!$B$51</definedName>
    <definedName function="false" hidden="false" name="in_curve_mode" vbProcedure="false">3_Toughness!$B$20</definedName>
    <definedName function="false" hidden="false" name="in_cycles_per_year" vbProcedure="false">8_Controls!$B$17</definedName>
    <definedName function="false" hidden="false" name="in_C_user" vbProcedure="false">4_Crack_Growth!$B$27</definedName>
    <definedName function="false" hidden="false" name="in_data_status" vbProcedure="false">2_Material!$B$25</definedName>
    <definedName function="false" hidden="false" name="in_direction" vbProcedure="false">6_Residual_Stress!$B$17</definedName>
    <definedName function="false" hidden="false" name="in_dkth_override" vbProcedure="false">4_Crack_Growth!$B$24</definedName>
    <definedName function="false" hidden="false" name="in_dKth_user" vbProcedure="false">4_Crack_Growth!$B$29</definedName>
    <definedName function="false" hidden="false" name="in_E" vbProcedure="false">2_Material!$B$35</definedName>
    <definedName function="false" hidden="false" name="in_E_ambient" vbProcedure="false">4_Crack_Growth!$B$21</definedName>
    <definedName function="false" hidden="false" name="in_E_temp" vbProcedure="false">4_Crack_Growth!$B$22</definedName>
    <definedName function="false" hidden="false" name="in_flaw_basis" vbProcedure="false">8_Controls!$B$10</definedName>
    <definedName function="false" hidden="false" name="in_growth_model" vbProcedure="false">4_Crack_Growth!$B$5</definedName>
    <definedName function="false" hidden="false" name="in_h2s_ppm" vbProcedure="false">4_Crack_Growth!$B$23</definedName>
    <definedName function="false" hidden="false" name="in_h2_shift" vbProcedure="false">3_Toughness!$B$38</definedName>
    <definedName function="false" hidden="false" name="in_h2_shift_user" vbProcedure="false">3_Toughness!$B$39</definedName>
    <definedName function="false" hidden="false" name="in_history" vbProcedure="false">7_Load_History!$A$4:$D$43</definedName>
    <definedName function="false" hidden="false" name="in_include_pc_ref" vbProcedure="false">5_Loads!$B$34</definedName>
    <definedName function="false" hidden="false" name="in_insp_cap" vbProcedure="false">8_Controls!$B$16</definedName>
    <definedName function="false" hidden="false" name="in_insp_fraction" vbProcedure="false">8_Controls!$B$15</definedName>
    <definedName function="false" hidden="false" name="in_joint" vbProcedure="false">6_Residual_Stress!$B$15</definedName>
    <definedName function="false" hidden="false" name="in_jr_basis" vbProcedure="false">9_Level3!$B$26</definedName>
    <definedName function="false" hidden="false" name="in_jr_C" vbProcedure="false">9_Level3!$B$27</definedName>
    <definedName function="false" hidden="false" name="in_jr_cvn" vbProcedure="false">9_Level3!$B$25</definedName>
    <definedName function="false" hidden="false" name="in_jr_n" vbProcedure="false">9_Level3!$B$28</definedName>
    <definedName function="false" hidden="false" name="in_jr_record" vbProcedure="false">9_Level3!$B$24</definedName>
    <definedName function="false" hidden="false" name="in_jr_source" vbProcedure="false">9_Level3!$B$23</definedName>
    <definedName function="false" hidden="false" name="in_kmat_project" vbProcedure="false">3_Toughness!$B$9</definedName>
    <definedName function="false" hidden="false" name="in_krate_dyn" vbProcedure="false">3_Toughness!$B$46</definedName>
    <definedName function="false" hidden="false" name="in_krate_static" vbProcedure="false">3_Toughness!$B$47</definedName>
    <definedName function="false" hidden="false" name="in_l3_sens" vbProcedure="false">9_Level3!$B$5</definedName>
    <definedName function="false" hidden="false" name="in_len_2c" vbProcedure="false">1_Geometry_Flaw!$B$8</definedName>
    <definedName function="false" hidden="false" name="in_life_margin" vbProcedure="false">8_Controls!$B$12</definedName>
    <definedName function="false" hidden="false" name="in_lrmax_mode" vbProcedure="false">2_Material!$B$29</definedName>
    <definedName function="false" hidden="false" name="in_material_filter" vbProcedure="false">2_Material!$B$5</definedName>
    <definedName function="false" hidden="false" name="in_material_id" vbProcedure="false">2_Material!$B$6</definedName>
    <definedName function="false" hidden="false" name="in_material_spec" vbProcedure="false">6_Residual_Stress!$B$10</definedName>
    <definedName function="false" hidden="false" name="in_max_cycles" vbProcedure="false">8_Controls!$B$5</definedName>
    <definedName function="false" hidden="false" name="in_max_dc" vbProcedure="false">8_Controls!$B$6</definedName>
    <definedName function="false" hidden="false" name="in_mc_L" vbProcedure="false">3_Toughness!$B$36</definedName>
    <definedName function="false" hidden="false" name="in_mc_L_mode" vbProcedure="false">3_Toughness!$B$35</definedName>
    <definedName function="false" hidden="false" name="in_mc_pf" vbProcedure="false">3_Toughness!$B$34</definedName>
    <definedName function="false" hidden="false" name="in_mc_test_B" vbProcedure="false">3_Toughness!$B$33</definedName>
    <definedName function="false" hidden="false" name="in_mc_test_E" vbProcedure="false">3_Toughness!$B$31</definedName>
    <definedName function="false" hidden="false" name="in_mc_test_J" vbProcedure="false">3_Toughness!$B$30</definedName>
    <definedName function="false" hidden="false" name="in_mc_test_nu" vbProcedure="false">3_Toughness!$B$32</definedName>
    <definedName function="false" hidden="false" name="in_mc_test_T" vbProcedure="false">3_Toughness!$B$29</definedName>
    <definedName function="false" hidden="false" name="in_mc_us_limit" vbProcedure="false">3_Toughness!$B$37</definedName>
    <definedName function="false" hidden="false" name="in_md_da_max" vbProcedure="false">9_Level3!$B$29</definedName>
    <definedName function="false" hidden="false" name="in_md_fmax" vbProcedure="false">9_Level3!$B$31</definedName>
    <definedName function="false" hidden="false" name="in_md_on" vbProcedure="false">9_Level3!$B$22</definedName>
    <definedName function="false" hidden="false" name="in_md_points" vbProcedure="false">9_Level3!$B$30</definedName>
    <definedName function="false" hidden="false" name="in_method" vbProcedure="false">3_Toughness!$B$5</definedName>
    <definedName function="false" hidden="false" name="in_ni_pct" vbProcedure="false">3_Toughness!$B$48</definedName>
    <definedName function="false" hidden="false" name="in_nu" vbProcedure="false">2_Material!$B$36</definedName>
    <definedName function="false" hidden="false" name="in_n_user" vbProcedure="false">4_Crack_Growth!$B$28</definedName>
    <definedName function="false" hidden="false" name="in_P0" vbProcedure="false">5_Loads!$B$18</definedName>
    <definedName function="false" hidden="false" name="in_P1" vbProcedure="false">5_Loads!$B$19</definedName>
    <definedName function="false" hidden="false" name="in_P2" vbProcedure="false">5_Loads!$B$20</definedName>
    <definedName function="false" hidden="false" name="in_P3" vbProcedure="false">5_Loads!$B$21</definedName>
    <definedName function="false" hidden="false" name="in_P4" vbProcedure="false">5_Loads!$B$22</definedName>
    <definedName function="false" hidden="false" name="in_Pb" vbProcedure="false">5_Loads!$B$14</definedName>
    <definedName function="false" hidden="false" name="in_pc" vbProcedure="false">5_Loads!$B$33</definedName>
    <definedName function="false" hidden="false" name="in_Pm" vbProcedure="false">5_Loads!$B$13</definedName>
    <definedName function="false" hidden="false" name="in_points" vbProcedure="false">6_Residual_Stress!$B$25</definedName>
    <definedName function="false" hidden="false" name="in_profile" vbProcedure="false">5B_Stress_Profile!$A$4:$D$53</definedName>
    <definedName function="false" hidden="false" name="in_profile_id" vbProcedure="false">6_Residual_Stress!$B$22</definedName>
    <definedName function="false" hidden="false" name="in_psf_flaw" vbProcedure="false">9_Level3!$B$20</definedName>
    <definedName function="false" hidden="false" name="in_psf_kmat" vbProcedure="false">9_Level3!$B$19</definedName>
    <definedName function="false" hidden="false" name="in_psf_on" vbProcedure="false">9_Level3!$B$17</definedName>
    <definedName function="false" hidden="false" name="in_psf_stress" vbProcedure="false">9_Level3!$B$18</definedName>
    <definedName function="false" hidden="false" name="in_pt_credit" vbProcedure="false">6_Residual_Stress!$B$18</definedName>
    <definedName function="false" hidden="false" name="in_Q0" vbProcedure="false">5_Loads!$B$23</definedName>
    <definedName function="false" hidden="false" name="in_Q1" vbProcedure="false">5_Loads!$B$24</definedName>
    <definedName function="false" hidden="false" name="in_Q2" vbProcedure="false">5_Loads!$B$25</definedName>
    <definedName function="false" hidden="false" name="in_Q3" vbProcedure="false">5_Loads!$B$26</definedName>
    <definedName function="false" hidden="false" name="in_Q4" vbProcedure="false">5_Loads!$B$27</definedName>
    <definedName function="false" hidden="false" name="in_Rb" vbProcedure="false">6_Residual_Stress!$B$8</definedName>
    <definedName function="false" hidden="false" name="in_required_life" vbProcedure="false">8_Controls!$B$11</definedName>
    <definedName function="false" hidden="false" name="in_re_mode" vbProcedure="false">4_Crack_Growth!$B$20</definedName>
    <definedName function="false" hidden="false" name="in_Rm" vbProcedure="false">6_Residual_Stress!$B$7</definedName>
    <definedName function="false" hidden="false" name="in_rs_method" vbProcedure="false">6_Residual_Stress!$B$5</definedName>
    <definedName function="false" hidden="false" name="in_r_basis" vbProcedure="false">4_Crack_Growth!$B$18</definedName>
    <definedName function="false" hidden="false" name="in_Sb" vbProcedure="false">5_Loads!$B$16</definedName>
    <definedName function="false" hidden="false" name="in_sif_points" vbProcedure="false">8_Controls!$B$8</definedName>
    <definedName function="false" hidden="false" name="in_Sm" vbProcedure="false">5_Loads!$B$15</definedName>
    <definedName function="false" hidden="false" name="in_smys_9d" vbProcedure="false">6_Residual_Stress!$B$11</definedName>
    <definedName function="false" hidden="false" name="in_ss_basis" vbProcedure="false">3_Toughness!$B$16</definedName>
    <definedName function="false" hidden="false" name="in_ss_condition" vbProcedure="false">3_Toughness!$B$15</definedName>
    <definedName function="false" hidden="false" name="in_strength_source" vbProcedure="false">2_Material!$B$22</definedName>
    <definedName function="false" hidden="false" name="in_stress_dist" vbProcedure="false">5_Loads!$B$5</definedName>
    <definedName function="false" hidden="false" name="in_stress_input" vbProcedure="false">5_Loads!$B$6</definedName>
    <definedName function="false" hidden="false" name="in_sulfur" vbProcedure="false">3_Toughness!$B$28</definedName>
    <definedName function="false" hidden="false" name="in_su_project" vbProcedure="false">2_Material!$B$24</definedName>
    <definedName function="false" hidden="false" name="in_syA" vbProcedure="false">3_Toughness!$B$27</definedName>
    <definedName function="false" hidden="false" name="in_sy_project" vbProcedure="false">2_Material!$B$23</definedName>
    <definedName function="false" hidden="false" name="in_s_c0_hi" vbProcedure="false">9_Level3!$D$10</definedName>
    <definedName function="false" hidden="false" name="in_s_c0_lo" vbProcedure="false">9_Level3!$C$10</definedName>
    <definedName function="false" hidden="false" name="in_s_c0_on" vbProcedure="false">9_Level3!$B$10</definedName>
    <definedName function="false" hidden="false" name="in_s_dkth_hi" vbProcedure="false">9_Level3!$D$14</definedName>
    <definedName function="false" hidden="false" name="in_s_dkth_lo" vbProcedure="false">9_Level3!$C$14</definedName>
    <definedName function="false" hidden="false" name="in_s_dkth_on" vbProcedure="false">9_Level3!$B$14</definedName>
    <definedName function="false" hidden="false" name="in_s_kmat_hi" vbProcedure="false">9_Level3!$D$11</definedName>
    <definedName function="false" hidden="false" name="in_s_kmat_lo" vbProcedure="false">9_Level3!$C$11</definedName>
    <definedName function="false" hidden="false" name="in_s_kmat_on" vbProcedure="false">9_Level3!$B$11</definedName>
    <definedName function="false" hidden="false" name="in_s_primary_hi" vbProcedure="false">9_Level3!$D$7</definedName>
    <definedName function="false" hidden="false" name="in_s_primary_lo" vbProcedure="false">9_Level3!$C$7</definedName>
    <definedName function="false" hidden="false" name="in_s_primary_on" vbProcedure="false">9_Level3!$B$7</definedName>
    <definedName function="false" hidden="false" name="in_s_rateC_hi" vbProcedure="false">9_Level3!$D$13</definedName>
    <definedName function="false" hidden="false" name="in_s_rateC_lo" vbProcedure="false">9_Level3!$C$13</definedName>
    <definedName function="false" hidden="false" name="in_s_rateC_on" vbProcedure="false">9_Level3!$B$13</definedName>
    <definedName function="false" hidden="false" name="in_s_residual_hi" vbProcedure="false">9_Level3!$D$9</definedName>
    <definedName function="false" hidden="false" name="in_s_residual_lo" vbProcedure="false">9_Level3!$C$9</definedName>
    <definedName function="false" hidden="false" name="in_s_residual_on" vbProcedure="false">9_Level3!$B$9</definedName>
    <definedName function="false" hidden="false" name="in_s_secondary_hi" vbProcedure="false">9_Level3!$D$8</definedName>
    <definedName function="false" hidden="false" name="in_s_secondary_lo" vbProcedure="false">9_Level3!$C$8</definedName>
    <definedName function="false" hidden="false" name="in_s_secondary_on" vbProcedure="false">9_Level3!$B$8</definedName>
    <definedName function="false" hidden="false" name="in_s_strength_hi" vbProcedure="false">9_Level3!$D$12</definedName>
    <definedName function="false" hidden="false" name="in_s_strength_lo" vbProcedure="false">9_Level3!$C$12</definedName>
    <definedName function="false" hidden="false" name="in_s_strength_on" vbProcedure="false">9_Level3!$B$12</definedName>
    <definedName function="false" hidden="false" name="in_t" vbProcedure="false">1_Geometry_Flaw!$B$5</definedName>
    <definedName function="false" hidden="false" name="in_t0" vbProcedure="false">3_Toughness!$B$26</definedName>
    <definedName function="false" hidden="false" name="in_t0_mode" vbProcedure="false">3_Toughness!$B$25</definedName>
    <definedName function="false" hidden="false" name="in_tests" vbProcedure="false">3_Toughness!$H$4:$H$33</definedName>
    <definedName function="false" hidden="false" name="in_tref" vbProcedure="false">3_Toughness!$B$19</definedName>
    <definedName function="false" hidden="false" name="in_tref_mode" vbProcedure="false">3_Toughness!$B$18</definedName>
    <definedName function="false" hidden="false" name="in_T_assess" vbProcedure="false">2_Material!$B$34</definedName>
    <definedName function="false" hidden="false" name="in_us_basis" vbProcedure="false">3_Toughness!$B$43</definedName>
    <definedName function="false" hidden="false" name="in_us_cvn" vbProcedure="false">3_Toughness!$B$42</definedName>
    <definedName function="false" hidden="false" name="in_us_fixed" vbProcedure="false">3_Toughness!$B$44</definedName>
    <definedName function="false" hidden="false" name="in_us_option" vbProcedure="false">3_Toughness!$B$41</definedName>
    <definedName function="false" hidden="false" name="in_weld_condition" vbProcedure="false">6_Residual_Stress!$B$16</definedName>
    <definedName function="false" hidden="false" name="in_weld_eq" vbProcedure="false">4_Crack_Growth!$B$19</definedName>
    <definedName function="false" hidden="false" name="in_weld_type" vbProcedure="false">6_Residual_Stress!$B$14</definedName>
    <definedName function="false" hidden="false" name="in_weld_w" vbProcedure="false">6_Residual_Stress!$B$24</definedName>
    <definedName function="false" hidden="false" name="in_weld_y" vbProcedure="false">6_Residual_Stress!$B$23</definedName>
    <definedName function="false" hidden="false" name="in_xi_cap" vbProcedure="false">3_Toughness!$B$22</definedName>
    <definedName function="false" hidden="false" name="in_xi_curve" vbProcedure="false">3_Toughness!$B$21</definedName>
    <definedName function="false" hidden="false" name="in_ys_basis" vbProcedure="false">6_Residual_Stress!$B$12</definedName>
    <definedName function="false" hidden="false" name="LOAD_TYPE" vbProcedure="false">Cover!$B$17</definedName>
    <definedName function="false" hidden="false" name="L_CONSTRAINT" vbProcedure="false">Lists!$E$2:$E$3</definedName>
    <definedName function="false" hidden="false" name="L_CRMO_ROUTE" vbProcedure="false">Lists!$U$2:$U$4</definedName>
    <definedName function="false" hidden="false" name="L_CRMO_VINTAGE" vbProcedure="false">Lists!$V$2:$V$4</definedName>
    <definedName function="false" hidden="false" name="L_CURVE_MODE" vbProcedure="false">Lists!$M$2:$M$6</definedName>
    <definedName function="false" hidden="false" name="L_CW_STOP" vbProcedure="false">Lists!$AT$2:$AT$4</definedName>
    <definedName function="false" hidden="false" name="L_DATA_STATUS" vbProcedure="false">Lists!$F$2:$F$3</definedName>
    <definedName function="false" hidden="false" name="L_DIRECTION" vbProcedure="false">Lists!$AI$2:$AI$3</definedName>
    <definedName function="false" hidden="false" name="L_FLAW_BASIS" vbProcedure="false">Lists!$AO$2:$AO$3</definedName>
    <definedName function="false" hidden="false" name="L_FLAW_OPTION" vbProcedure="false">Lists!$A$2:$A$3</definedName>
    <definedName function="false" hidden="false" name="L_GROWTH_IDS" vbProcedure="false">Lists!$BG$2:$BG$37</definedName>
    <definedName function="false" hidden="false" name="L_H2_SHIFT" vbProcedure="false">Lists!$S$2:$S$5</definedName>
    <definedName function="false" hidden="false" name="L_INSP_FRACTION" vbProcedure="false">Lists!$AS$2:$AS$5</definedName>
    <definedName function="false" hidden="false" name="L_JOINT" vbProcedure="false">Lists!$AM$2:$AM$4</definedName>
    <definedName function="false" hidden="false" name="L_JR_IDS" vbProcedure="false">Lists!$AW$2:$AW$10</definedName>
    <definedName function="false" hidden="false" name="L_JR_SOURCE" vbProcedure="false">Lists!$AV$2:$AV$4</definedName>
    <definedName function="false" hidden="false" name="L_LIFE_MARGIN" vbProcedure="false">Lists!$AR$2:$AR$6</definedName>
    <definedName function="false" hidden="false" name="L_LOWER_MEAN" vbProcedure="false">Lists!$J$2:$J$3</definedName>
    <definedName function="false" hidden="false" name="L_LOWER_MEDIAN" vbProcedure="false">Lists!$K$2:$K$3</definedName>
    <definedName function="false" hidden="false" name="L_LRMAX_MODE" vbProcedure="false">Lists!$D$2:$D$8</definedName>
    <definedName function="false" hidden="false" name="L_L_MODE" vbProcedure="false">Lists!$Q$2:$Q$3</definedName>
    <definedName function="false" hidden="false" name="L_MATERIAL_FILTER" vbProcedure="false">Lists!$AN$2:$AN$6</definedName>
    <definedName function="false" hidden="false" name="L_MATERIAL_IDS" vbProcedure="false">Lists!$AX$2:$AX$38</definedName>
    <definedName function="false" hidden="false" name="L_MAT_ALL" vbProcedure="false">Lists!$AY$2:$AY$38</definedName>
    <definedName function="false" hidden="false" name="L_MAT_AUSTENITIC_SS" vbProcedure="false">Lists!$BB$2:$BB$9</definedName>
    <definedName function="false" hidden="false" name="L_MAT_CARBON_STEEL" vbProcedure="false">Lists!$AZ$2:$AZ$22</definedName>
    <definedName function="false" hidden="false" name="L_MAT_LOW_ALLOY_STEEL" vbProcedure="false">Lists!$BA$2:$BA$8</definedName>
    <definedName function="false" hidden="false" name="L_MAT_REFERENCE" vbProcedure="false">Lists!$BC$2:$BC$2</definedName>
    <definedName function="false" hidden="false" name="L_PF" vbProcedure="false">Lists!$AQ$2:$AQ$5</definedName>
    <definedName function="false" hidden="false" name="L_PROFILE" vbProcedure="false">Lists!$AK$2:$AK$3</definedName>
    <definedName function="false" hidden="false" name="L_PROJ_PLANE" vbProcedure="false">Lists!$B$2:$B$3</definedName>
    <definedName function="false" hidden="false" name="L_PT_CREDIT" vbProcedure="false">Lists!$AJ$2:$AJ$2</definedName>
    <definedName function="false" hidden="false" name="L_RE_MODE" vbProcedure="false">Lists!$Y$2:$Y$4</definedName>
    <definedName function="false" hidden="false" name="L_RS_METHOD" vbProcedure="false">Lists!$AE$2:$AE$4</definedName>
    <definedName function="false" hidden="false" name="L_RS_METHOD_S" vbProcedure="false">Lists!$AF$2:$AF$5</definedName>
    <definedName function="false" hidden="false" name="L_R_BASIS" vbProcedure="false">Lists!$W$2:$W$4</definedName>
    <definedName function="false" hidden="false" name="L_SPEC_TEXT" vbProcedure="false">Lists!$AU$2:$AU$36</definedName>
    <definedName function="false" hidden="false" name="L_SS_CONDITION" vbProcedure="false">Lists!$I$2:$I$4</definedName>
    <definedName function="false" hidden="false" name="L_STRENGTH_SOURCE" vbProcedure="false">Lists!$C$2:$C$3</definedName>
    <definedName function="false" hidden="false" name="L_STRESS_DIST" vbProcedure="false">Lists!$AA$2:$AA$3</definedName>
    <definedName function="false" hidden="false" name="L_STRESS_INPUT" vbProcedure="false">Lists!$AB$2:$AB$4</definedName>
    <definedName function="false" hidden="false" name="L_STRESS_INPUT_KPSCL1" vbProcedure="false">Lists!$AC$2:$AC$3</definedName>
    <definedName function="false" hidden="false" name="L_STRESS_INPUT_KPSCL2" vbProcedure="false">Lists!$AD$2:$AD$3</definedName>
    <definedName function="false" hidden="false" name="L_STRESS_MODE" vbProcedure="false">Lists!$Z$2:$Z$3</definedName>
    <definedName function="false" hidden="false" name="L_SULFUR" vbProcedure="false">Lists!$P$2:$P$3</definedName>
    <definedName function="false" hidden="false" name="L_T0_MODE" vbProcedure="false">Lists!$O$2:$O$4</definedName>
    <definedName function="false" hidden="false" name="L_TOUGHNESS_METHOD" vbProcedure="false">Lists!$H$2:$H$10</definedName>
    <definedName function="false" hidden="false" name="L_TREF_MODE" vbProcedure="false">Lists!$L$2:$L$5</definedName>
    <definedName function="false" hidden="false" name="L_UNIT_SYSTEM" vbProcedure="false">Lists!$BF$2:$BF$3</definedName>
    <definedName function="false" hidden="false" name="L_US_LIMIT" vbProcedure="false">Lists!$R$2:$R$3</definedName>
    <definedName function="false" hidden="false" name="L_US_OPTION" vbProcedure="false">Lists!$T$2:$T$3</definedName>
    <definedName function="false" hidden="false" name="L_WELD_COND" vbProcedure="false">Lists!$AH$2:$AH$4</definedName>
    <definedName function="false" hidden="false" name="L_WELD_EQ" vbProcedure="false">Lists!$X$2:$X$3</definedName>
    <definedName function="false" hidden="false" name="L_WELD_TYPE" vbProcedure="false">Lists!$AL$2:$AL$6</definedName>
    <definedName function="false" hidden="false" name="L_XI_CAP" vbProcedure="false">Lists!$AP$2:$AP$5</definedName>
    <definedName function="false" hidden="false" name="L_XI_CAP_FPS" vbProcedure="false">Lists!$BE$2:$BE$3</definedName>
    <definedName function="false" hidden="false" name="L_XI_CAP_SI" vbProcedure="false">Lists!$BD$2:$BD$3</definedName>
    <definedName function="false" hidden="false" name="L_XI_CURVE" vbProcedure="false">Lists!$N$2:$N$3</definedName>
    <definedName function="false" hidden="false" name="L_YES_NO" vbProcedure="false">Lists!$G$2:$G$3</definedName>
    <definedName function="false" hidden="false" name="L_YS_BASIS" vbProcedure="false">Lists!$AG$2:$AG$3</definedName>
    <definedName function="false" hidden="false" name="prj_analyst" vbProcedure="false">Cover!$B$12</definedName>
    <definedName function="false" hidden="false" name="prj_checker" vbProcedure="false">Cover!$B$13</definedName>
    <definedName function="false" hidden="false" name="prj_component" vbProcedure="false">Cover!$B$10</definedName>
    <definedName function="false" hidden="false" name="prj_date" vbProcedure="false">Cover!$B$14</definedName>
    <definedName function="false" hidden="false" name="prj_location" vbProcedure="false">Cover!$B$11</definedName>
    <definedName function="false" hidden="false" name="prj_project" vbProcedure="false">Cover!$B$9</definedName>
    <definedName function="false" hidden="false" name="prj_revision" vbProcedure="false">Cover!$B$15</definedName>
    <definedName function="false" hidden="false" name="UNIT_SYSTEM" vbProcedure="false">Cover!$B$5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<sst xmlns="http://schemas.openxmlformats.org/spreadsheetml/2006/main" count="2216" uniqueCount="1001">
  <si>
    <t xml:space="preserve">ATLAS  |  API 579-1/ASME FFS-1 2021  PART 9  -  CRACK-LIKE FLAW ASSESSMENT</t>
  </si>
  <si>
    <t xml:space="preserve">UNIT SYSTEM  -  SELECT FIRST (governs inputs, databases, results, plots)</t>
  </si>
  <si>
    <t xml:space="preserve">Unit system</t>
  </si>
  <si>
    <t xml:space="preserve">SI</t>
  </si>
  <si>
    <t xml:space="preserve">Template default values (formulas) convert automatically when the unit system is changed. Values you type are taken in the selected system; to switch units on a case with typed values run: python ENGINE/tools/convert_units.py &lt;workbook&gt; --to FPS|SI</t>
  </si>
  <si>
    <t xml:space="preserve">CASE IDENTIFICATION</t>
  </si>
  <si>
    <t xml:space="preserve">Project</t>
  </si>
  <si>
    <t xml:space="preserve">ATLAS KPSCL reference case</t>
  </si>
  <si>
    <t xml:space="preserve">Component / tag</t>
  </si>
  <si>
    <t xml:space="preserve">Flat plate (Fig. 9B.2(b))</t>
  </si>
  <si>
    <t xml:space="preserve">Flaw location</t>
  </si>
  <si>
    <t xml:space="preserve">Infinite-length surface flaw</t>
  </si>
  <si>
    <t xml:space="preserve">Analyst</t>
  </si>
  <si>
    <t xml:space="preserve">Checker</t>
  </si>
  <si>
    <t xml:space="preserve">Date</t>
  </si>
  <si>
    <t xml:space="preserve">Revision</t>
  </si>
  <si>
    <t xml:space="preserve">R1</t>
  </si>
  <si>
    <t xml:space="preserve">Crack geometry</t>
  </si>
  <si>
    <t xml:space="preserve">KPSCL</t>
  </si>
  <si>
    <t xml:space="preserve">Load type</t>
  </si>
  <si>
    <t xml:space="preserve">VARIABLE</t>
  </si>
  <si>
    <t xml:space="preserve">COLOUR LEGEND</t>
  </si>
  <si>
    <t xml:space="preserve">Input - edit (blue text, yellow)</t>
  </si>
  <si>
    <t xml:space="preserve">Calculated / database look-up (green)</t>
  </si>
  <si>
    <t xml:space="preserve">Database (read-only copy of data/*.csv)</t>
  </si>
  <si>
    <t xml:space="preserve">WORKFLOW (PART 9 LEVEL 2, PARAGRAPH 9.4.3.2 + 9.5.1)</t>
  </si>
  <si>
    <t xml:space="preserve">Sheet</t>
  </si>
  <si>
    <t xml:space="preserve">Part 9 step</t>
  </si>
  <si>
    <t xml:space="preserve">Content</t>
  </si>
  <si>
    <t xml:space="preserve">1_Geometry_Flaw</t>
  </si>
  <si>
    <t xml:space="preserve">STEP 5 / 9.3.6</t>
  </si>
  <si>
    <t xml:space="preserve">Plate t; measured flaw depth a (infinite length), 0 &lt; a/t &lt;= 0.8</t>
  </si>
  <si>
    <t xml:space="preserve">2_Material</t>
  </si>
  <si>
    <t xml:space="preserve">STEP 3</t>
  </si>
  <si>
    <t xml:space="preserve">Material from database, strengths at assessment temperature, Fig. 9.19 cut-off</t>
  </si>
  <si>
    <t xml:space="preserve">3_Toughness</t>
  </si>
  <si>
    <t xml:space="preserve">STEP 4 / Annex 9F</t>
  </si>
  <si>
    <t xml:space="preserve">Kmat route: project, Table 9F.1 tests, 9F.4.2-9F.4.7, 9F.4.12</t>
  </si>
  <si>
    <t xml:space="preserve">4_Crack_Growth</t>
  </si>
  <si>
    <t xml:space="preserve">9.5.1 / Annex 9F.5</t>
  </si>
  <si>
    <t xml:space="preserve">Growth model (Tables 9F.4-9F.9, Eqs. 9F.135-9F.169)</t>
  </si>
  <si>
    <t xml:space="preserve">5_Loads</t>
  </si>
  <si>
    <t xml:space="preserve">STEPs 1-2 / 9C.2.2</t>
  </si>
  <si>
    <t xml:space="preserve">Stress distribution (Fourth Order Polynomial - KPSCL1 / Arbitrary - KPSCL2) and input format</t>
  </si>
  <si>
    <t xml:space="preserve">5B_Stress_Profile</t>
  </si>
  <si>
    <t xml:space="preserve">9B.2.2 / 9B.14</t>
  </si>
  <si>
    <t xml:space="preserve">Arbitrary through-wall stress profile (primary, secondary, residual)</t>
  </si>
  <si>
    <t xml:space="preserve">6_Residual_Stress</t>
  </si>
  <si>
    <t xml:space="preserve">Annex 9D</t>
  </si>
  <si>
    <t xml:space="preserve">None / user / Annex 9D PWHT, as-welded, uniform yield / user profile</t>
  </si>
  <si>
    <t xml:space="preserve">7_Load_History</t>
  </si>
  <si>
    <t xml:space="preserve">9.5.1.1(e)</t>
  </si>
  <si>
    <t xml:space="preserve">Load blocks (min/max scale, cycles per block)</t>
  </si>
  <si>
    <t xml:space="preserve">8_Controls</t>
  </si>
  <si>
    <t xml:space="preserve">Numerics / 9.5.1.2</t>
  </si>
  <si>
    <t xml:space="preserve">Integration controls and remaining-life acceptance</t>
  </si>
  <si>
    <t xml:space="preserve">9_Level3</t>
  </si>
  <si>
    <t xml:space="preserve">9.4.4 Level 3</t>
  </si>
  <si>
    <t xml:space="preserve">Method A sensitivity / partial safety factors, Method D ductile tearing (J-R curve)</t>
  </si>
  <si>
    <t xml:space="preserve">HOW TO RUN</t>
  </si>
  <si>
    <t xml:space="preserve">1. Select the unit system, edit only yellow cells (use the drop-downs) and save the workbook.</t>
  </si>
  <si>
    <t xml:space="preserve">2. python RUN_THIS_CASE.py   (or from the package root: python ENGINE/run_case.py)</t>
  </si>
  <si>
    <t xml:space="preserve">3. Results appear in OUTPUT/ (output workbook - open Dashboard first) and PLOTS/ (images + plot-data workbook),</t>
  </si>
  <si>
    <t xml:space="preserve">   in the selected unit system only. Each run replaces the previous results of this case.</t>
  </si>
  <si>
    <t xml:space="preserve">4. Database sheets are display copies of ENGINE/data/*.csv, which the solver always uses.</t>
  </si>
  <si>
    <t xml:space="preserve">Figure 9B.2(b): plate thickness t, surface crack of depth a and infinite length</t>
  </si>
  <si>
    <t xml:space="preserve">Parameter</t>
  </si>
  <si>
    <t xml:space="preserve">Value</t>
  </si>
  <si>
    <t xml:space="preserve">Unit</t>
  </si>
  <si>
    <t xml:space="preserve">API 579 reference / note</t>
  </si>
  <si>
    <t xml:space="preserve">Status</t>
  </si>
  <si>
    <t xml:space="preserve">PLATE GEOMETRY (Figure 9B.2(b))</t>
  </si>
  <si>
    <t xml:space="preserve">Plate thickness, t</t>
  </si>
  <si>
    <t xml:space="preserve">INPUT</t>
  </si>
  <si>
    <t xml:space="preserve">FLAW CHARACTERIZATION (paragraph 9.3.6.3)</t>
  </si>
  <si>
    <t xml:space="preserve">Measured flaw depth, a</t>
  </si>
  <si>
    <t xml:space="preserve">Depth from the cracked surface (9.3.6.3); 0 &lt; a/t &lt;= 0.8</t>
  </si>
  <si>
    <t xml:space="preserve">Measured flaw length 2c (information)</t>
  </si>
  <si>
    <t xml:space="preserve">Infinite length is assumed - a conservative bound for long surface flaws</t>
  </si>
  <si>
    <t xml:space="preserve">RESULTING ASSESSMENT FLAW</t>
  </si>
  <si>
    <t xml:space="preserve">Assessment depth a0</t>
  </si>
  <si>
    <t xml:space="preserve">Used as initial crack depth</t>
  </si>
  <si>
    <t xml:space="preserve">CALC</t>
  </si>
  <si>
    <t xml:space="preserve">a0/t</t>
  </si>
  <si>
    <t xml:space="preserve">-</t>
  </si>
  <si>
    <t xml:space="preserve">9B.3.2.2(d): 0 &lt; a/t &lt;= 0.8</t>
  </si>
  <si>
    <t xml:space="preserve">KPSCL applicability</t>
  </si>
  <si>
    <t xml:space="preserve">Influence coefficient G0 at a0</t>
  </si>
  <si>
    <t xml:space="preserve">Eq. 9B.13, Table 9B.2</t>
  </si>
  <si>
    <t xml:space="preserve">Influence coefficient G1 at a0</t>
  </si>
  <si>
    <t xml:space="preserve">Infinite length is a conservative bound for a long surface flaw. No restraint on the plate ends is assumed (9B.3.2.2(e)); the reference stress uses Eq. 9C.31 (negligible bending restraint).</t>
  </si>
  <si>
    <t xml:space="preserve">Paragraph 9.4.3.2 STEP 3 (strength) and Figure 9.19 (FAD cut-off). Database: DB_Materials</t>
  </si>
  <si>
    <t xml:space="preserve">MATERIAL SELECTION</t>
  </si>
  <si>
    <t xml:space="preserve">Material class filter (narrows the Material ID list)</t>
  </si>
  <si>
    <t xml:space="preserve">ALL</t>
  </si>
  <si>
    <t xml:space="preserve">Select a class, then pick the Material ID from the filtered drop-down</t>
  </si>
  <si>
    <t xml:space="preserve">Material ID</t>
  </si>
  <si>
    <t xml:space="preserve">REFERENCE_CS_350</t>
  </si>
  <si>
    <t xml:space="preserve">Select from DB_Materials</t>
  </si>
  <si>
    <t xml:space="preserve">Selected ID in filtered class?</t>
  </si>
  <si>
    <t xml:space="preserve">Check only - the solver uses the Material ID</t>
  </si>
  <si>
    <t xml:space="preserve">Specification</t>
  </si>
  <si>
    <t xml:space="preserve">Grade / class</t>
  </si>
  <si>
    <t xml:space="preserve">Product form</t>
  </si>
  <si>
    <t xml:space="preserve">Condition / heat treatment</t>
  </si>
  <si>
    <t xml:space="preserve">Material class</t>
  </si>
  <si>
    <t xml:space="preserve">Table 9.2 class / route checks</t>
  </si>
  <si>
    <t xml:space="preserve">SMYS (specified minimum)</t>
  </si>
  <si>
    <t xml:space="preserve">Ambient, per material specification</t>
  </si>
  <si>
    <t xml:space="preserve">SMTS (specified minimum)</t>
  </si>
  <si>
    <t xml:space="preserve">Typical E (ambient)</t>
  </si>
  <si>
    <t xml:space="preserve">Typical - confirm with Annex 2E / ASME II-D</t>
  </si>
  <si>
    <t xml:space="preserve">ASME exemption curve</t>
  </si>
  <si>
    <t xml:space="preserve">Part 3 Table 3.2</t>
  </si>
  <si>
    <t xml:space="preserve">Lr(max) category</t>
  </si>
  <si>
    <t xml:space="preserve">Figure 9.19 Note 2</t>
  </si>
  <si>
    <t xml:space="preserve">Default growth model</t>
  </si>
  <si>
    <t xml:space="preserve">Used when 4_Crack_Growth = FROM_MATERIAL_DB</t>
  </si>
  <si>
    <t xml:space="preserve">Suggested toughness method</t>
  </si>
  <si>
    <t xml:space="preserve">Informative</t>
  </si>
  <si>
    <t xml:space="preserve">Database note</t>
  </si>
  <si>
    <t xml:space="preserve">STRENGTH AT ASSESSMENT CONDITION (STEP 3)</t>
  </si>
  <si>
    <t xml:space="preserve">Strength source (9.4.3.2 STEP 3)</t>
  </si>
  <si>
    <t xml:space="preserve">DATABASE_SPEC_MIN</t>
  </si>
  <si>
    <t xml:space="preserve">Spec minimum (database) or approved values at assessment temperature</t>
  </si>
  <si>
    <t xml:space="preserve">Project yield strength at temperature, Sy</t>
  </si>
  <si>
    <t xml:space="preserve">Used when PROJECT_AT_TEMPERATURE</t>
  </si>
  <si>
    <t xml:space="preserve">Project tensile strength at temperature, Su</t>
  </si>
  <si>
    <t xml:space="preserve">Project data status</t>
  </si>
  <si>
    <t xml:space="preserve">NOT_APPROVED</t>
  </si>
  <si>
    <t xml:space="preserve">Set APPROVED for any project-entered data</t>
  </si>
  <si>
    <t xml:space="preserve">Yield strength used, Sy</t>
  </si>
  <si>
    <t xml:space="preserve">Tensile strength used, Su</t>
  </si>
  <si>
    <t xml:space="preserve">FAD CUT-OFF AND CONSTRAINT</t>
  </si>
  <si>
    <t xml:space="preserve">FAD cut-off Lr(max) category (Fig. 9.19)</t>
  </si>
  <si>
    <t xml:space="preserve">FROM_DATABASE</t>
  </si>
  <si>
    <t xml:space="preserve">Constraint for Eq. 9.13/9.14</t>
  </si>
  <si>
    <t xml:space="preserve">plane_strain</t>
  </si>
  <si>
    <t xml:space="preserve">Lr(max) category used</t>
  </si>
  <si>
    <t xml:space="preserve">Lr(max) cut-off</t>
  </si>
  <si>
    <t xml:space="preserve">Flow stress (Sy+Su)/2 / Sy for FLOW_STRESS (Note 2(e))</t>
  </si>
  <si>
    <t xml:space="preserve">TEMPERATURE AND ELASTIC PROPERTIES</t>
  </si>
  <si>
    <t xml:space="preserve">Assessment temperature, T</t>
  </si>
  <si>
    <t xml:space="preserve">Elastic modulus at T, E</t>
  </si>
  <si>
    <t xml:space="preserve">Typical values in DB; confirm with Annex 2E / ASME II-D</t>
  </si>
  <si>
    <t xml:space="preserve">Poisson's ratio, nu</t>
  </si>
  <si>
    <t xml:space="preserve">Paragraph 9.4.3.2 STEP 4 and Annex 9F.4. Only the inputs of the selected method are used.</t>
  </si>
  <si>
    <t xml:space="preserve">Test #</t>
  </si>
  <si>
    <t xml:space="preserve">METHOD SELECTION</t>
  </si>
  <si>
    <t xml:space="preserve">Toughness method (Part 9 STEP 4)</t>
  </si>
  <si>
    <t xml:space="preserve">PROJECT_KMAT</t>
  </si>
  <si>
    <t xml:space="preserve">Clause</t>
  </si>
  <si>
    <t xml:space="preserve">Method summary</t>
  </si>
  <si>
    <t xml:space="preserve">PROJECT_KMAT  (9.3.5.2)</t>
  </si>
  <si>
    <t xml:space="preserve">Project Kmat (approved)</t>
  </si>
  <si>
    <t xml:space="preserve">PROJECT_KMAT when the material record has no Kmat</t>
  </si>
  <si>
    <t xml:space="preserve">PROJECT_TEST_SET  (Table 9F.1, enter results in column H)</t>
  </si>
  <si>
    <t xml:space="preserve">Number of tests</t>
  </si>
  <si>
    <t xml:space="preserve">3 to 30 tests</t>
  </si>
  <si>
    <t xml:space="preserve">Equivalent minimum-of-three</t>
  </si>
  <si>
    <t xml:space="preserve">Table 9F.1 rank: 3-5 lowest, 6-10 2nd lowest, ...</t>
  </si>
  <si>
    <t xml:space="preserve">Scatter check (3 tests, Note 2)</t>
  </si>
  <si>
    <t xml:space="preserve">9F412_AUSTENITIC_JC  (9F.4.12, Table 9F.2)</t>
  </si>
  <si>
    <t xml:space="preserve">9F.2 austenitic condition</t>
  </si>
  <si>
    <t xml:space="preserve">WROUGHT</t>
  </si>
  <si>
    <t xml:space="preserve">9F.2 Jc basis</t>
  </si>
  <si>
    <t xml:space="preserve">LOWER</t>
  </si>
  <si>
    <t xml:space="preserve">LOWER = 90/95 lower bound</t>
  </si>
  <si>
    <t xml:space="preserve">9F42_ASME_XI_LOWER  (9F.4.2)</t>
  </si>
  <si>
    <t xml:space="preserve">Reference temperature mode (9F.4.2.2)</t>
  </si>
  <si>
    <t xml:space="preserve">EQ_9F29</t>
  </si>
  <si>
    <t xml:space="preserve">Tref / RTNDT (DIRECT)</t>
  </si>
  <si>
    <t xml:space="preserve">ASME exemption curve (Part 3 Table 3.2)</t>
  </si>
  <si>
    <t xml:space="preserve">Section XI curve</t>
  </si>
  <si>
    <t xml:space="preserve">KIC</t>
  </si>
  <si>
    <t xml:space="preserve">KIC Eq. 9F.44 / KIR Eq. 9F.46</t>
  </si>
  <si>
    <t xml:space="preserve">Upper-shelf truncation 9F.4.2.1(e)</t>
  </si>
  <si>
    <t xml:space="preserve">SI: 110 or 220 MPa√m.  FPS: 100 or 200 ksi√in</t>
  </si>
  <si>
    <t xml:space="preserve">Exemption curve used</t>
  </si>
  <si>
    <t xml:space="preserve">Also used by Master Curve Option A</t>
  </si>
  <si>
    <t xml:space="preserve">9F43_MASTER_CURVE  (9F.4.3) - also base for 9F45 / 9F47</t>
  </si>
  <si>
    <t xml:space="preserve">Master Curve T0 mode (9F.4.3.2)</t>
  </si>
  <si>
    <t xml:space="preserve">OPTION_A_EXEMPTION</t>
  </si>
  <si>
    <t xml:space="preserve">Master Curve T0 (DIRECT)</t>
  </si>
  <si>
    <t xml:space="preserve">Ambient yield strength, SyA</t>
  </si>
  <si>
    <t xml:space="preserve">Option A T0 (Eq. 9F.54/57) and 9F.4.5</t>
  </si>
  <si>
    <t xml:space="preserve">Carbon steel sulfur class</t>
  </si>
  <si>
    <t xml:space="preserve">LOW</t>
  </si>
  <si>
    <t xml:space="preserve">LOW &lt;= 0.01 % S</t>
  </si>
  <si>
    <t xml:space="preserve">Option D test temperature</t>
  </si>
  <si>
    <t xml:space="preserve">Option D test Jcrit</t>
  </si>
  <si>
    <t xml:space="preserve">Option D E at test temperature</t>
  </si>
  <si>
    <t xml:space="preserve">Option D Poisson's ratio</t>
  </si>
  <si>
    <t xml:space="preserve">Option D specimen thickness B</t>
  </si>
  <si>
    <t xml:space="preserve">Master Curve probability Pf</t>
  </si>
  <si>
    <t xml:space="preserve">0.05 = recommended 5 % lower bound</t>
  </si>
  <si>
    <t xml:space="preserve">Crack-front length L mode</t>
  </si>
  <si>
    <t xml:space="preserve">AUTO</t>
  </si>
  <si>
    <t xml:space="preserve">AUTO: 2t (through-wall crack) or 100 mm / 4 in (infinite surface crack, Eq. 9H.15)</t>
  </si>
  <si>
    <t xml:space="preserve">Crack-front length L (USER)</t>
  </si>
  <si>
    <t xml:space="preserve">Limit Master Curve by 9F.4.4 upper shelf</t>
  </si>
  <si>
    <t xml:space="preserve">NONE</t>
  </si>
  <si>
    <t xml:space="preserve">Hydrogen T0 shift (9F.4.6.2)</t>
  </si>
  <si>
    <t xml:space="preserve">H &gt; 1 ppm: 2.25Cr-1Mo +50 C; CS/low-Cr use 9F45_ARREST</t>
  </si>
  <si>
    <t xml:space="preserve">User hydrogen T0 shift</t>
  </si>
  <si>
    <t xml:space="preserve">9F44_UPPER_SHELF  (9F.4.4)</t>
  </si>
  <si>
    <t xml:space="preserve">Upper-shelf option (9F.4.4)</t>
  </si>
  <si>
    <t xml:space="preserve">B</t>
  </si>
  <si>
    <t xml:space="preserve">Upper-shelf CVN (Option A)</t>
  </si>
  <si>
    <t xml:space="preserve">Upper-shelf basis (Option A)</t>
  </si>
  <si>
    <t xml:space="preserve">Upper-shelf fixed Kmat (Option B)</t>
  </si>
  <si>
    <t xml:space="preserve">9F45_DYNAMIC / 9F45_ARREST  (9F.4.5)</t>
  </si>
  <si>
    <t xml:space="preserve">Dynamic loading rate dK/dt (9F.4.5.2)</t>
  </si>
  <si>
    <t xml:space="preserve">Quasi-static loading rate</t>
  </si>
  <si>
    <t xml:space="preserve">1 MPa√m/s (0.91 ksi√in/s)</t>
  </si>
  <si>
    <t xml:space="preserve">Nickel content (9F.4.5.3)</t>
  </si>
  <si>
    <t xml:space="preserve">wt %</t>
  </si>
  <si>
    <t xml:space="preserve">wt %; &gt; 1 % uses Eq. 9F.100</t>
  </si>
  <si>
    <t xml:space="preserve">9F47_CRMO_AGING  (9F.4.7)  - blank chemistry uses conservative defaults</t>
  </si>
  <si>
    <t xml:space="preserve">Cr-Mo aging route (9F.4.7)</t>
  </si>
  <si>
    <t xml:space="preserve">CR125_XBAR</t>
  </si>
  <si>
    <t xml:space="preserve">2.25Cr-1Mo vintage (J unknown)</t>
  </si>
  <si>
    <t xml:space="preserve">PRE_1975</t>
  </si>
  <si>
    <t xml:space="preserve">Chemistry %P</t>
  </si>
  <si>
    <t xml:space="preserve">Chemistry %Sb</t>
  </si>
  <si>
    <t xml:space="preserve">Chemistry %Sn</t>
  </si>
  <si>
    <t xml:space="preserve">Chemistry %As</t>
  </si>
  <si>
    <t xml:space="preserve">Chemistry %Mn</t>
  </si>
  <si>
    <t xml:space="preserve">Chemistry %Si</t>
  </si>
  <si>
    <t xml:space="preserve">Paragraph 9.5.1 and Annex 9F.5. Database: DB_Growth (Tables 9F.4-9F.9 and 9F.5.3.9 equations)</t>
  </si>
  <si>
    <t xml:space="preserve">MODEL SELECTION</t>
  </si>
  <si>
    <t xml:space="preserve">Crack growth model</t>
  </si>
  <si>
    <t xml:space="preserve">FROM_MATERIAL_DB</t>
  </si>
  <si>
    <t xml:space="preserve">Model used</t>
  </si>
  <si>
    <t xml:space="preserve">API table</t>
  </si>
  <si>
    <t xml:space="preserve">Equation</t>
  </si>
  <si>
    <t xml:space="preserve">Description</t>
  </si>
  <si>
    <t xml:space="preserve">Applicability</t>
  </si>
  <si>
    <t xml:space="preserve">C1 (first / R&lt;0.5 row)</t>
  </si>
  <si>
    <t xml:space="preserve">For 9F.7 models a second R&gt;=0.5 parameter row exists (DB_Growth)</t>
  </si>
  <si>
    <t xml:space="preserve">n1</t>
  </si>
  <si>
    <t xml:space="preserve">C2 (bilinear)</t>
  </si>
  <si>
    <t xml:space="preserve">n2</t>
  </si>
  <si>
    <t xml:space="preserve">dK transition</t>
  </si>
  <si>
    <t xml:space="preserve">Threshold dKth</t>
  </si>
  <si>
    <t xml:space="preserve">OPTIONS</t>
  </si>
  <si>
    <t xml:space="preserve">Stress ratio R basis</t>
  </si>
  <si>
    <t xml:space="preserve">INCLUDE_RESIDUAL</t>
  </si>
  <si>
    <t xml:space="preserve">FORCE_R_GE_0_5 = 9F.5.3.8 recommendation for as-welded joints</t>
  </si>
  <si>
    <t xml:space="preserve">Welded-joint equation (Table 9F.5)</t>
  </si>
  <si>
    <t xml:space="preserve">9F140</t>
  </si>
  <si>
    <t xml:space="preserve">Table 9F.5 comment: Eq. 9F.140</t>
  </si>
  <si>
    <t xml:space="preserve">Temperature correction R_E (9F.139)</t>
  </si>
  <si>
    <t xml:space="preserve">AUTO = only where the table specifies 9F.137</t>
  </si>
  <si>
    <t xml:space="preserve">E at ambient, Ey</t>
  </si>
  <si>
    <t xml:space="preserve">E at temperature, EyT</t>
  </si>
  <si>
    <t xml:space="preserve">H2S concentration (sour crude)</t>
  </si>
  <si>
    <t xml:space="preserve">ppm</t>
  </si>
  <si>
    <t xml:space="preserve">ppm, Eqs. 9F.160/9F.162</t>
  </si>
  <si>
    <t xml:space="preserve">Threshold override dKth (blank = table)</t>
  </si>
  <si>
    <t xml:space="preserve">R_E = max(Ey/EyT, 1)</t>
  </si>
  <si>
    <t xml:space="preserve">Eq. 9F.139</t>
  </si>
  <si>
    <t xml:space="preserve">PROJECT_USER_PARIS  (requires 2_Material data status = APPROVED)</t>
  </si>
  <si>
    <t xml:space="preserve">Project Paris C (PROJECT_USER_PARIS)</t>
  </si>
  <si>
    <t xml:space="preserve">da/dN in mm/cycle (in/cycle) with dK in MPa√m (ksi√in)</t>
  </si>
  <si>
    <t xml:space="preserve">Project Paris n</t>
  </si>
  <si>
    <t xml:space="preserve">Project threshold dKth</t>
  </si>
  <si>
    <t xml:space="preserve">STEP 1-2: stresses normal to the crack plane, uncracked component. Values at load scale = 1.0 (scaled by 7_Load_History).</t>
  </si>
  <si>
    <t xml:space="preserve">STRESS DISTRIBUTION  (API 579 Annex 9B / 9C - plate, surface crack, infinite length)</t>
  </si>
  <si>
    <t xml:space="preserve">Through-wall stress distribution (Annex 9B / 9C)</t>
  </si>
  <si>
    <t xml:space="preserve">Through-Wall Fourth Order Polynomial Stress Distribution - KPSCL1 (9B.3.2) / RPSCL (9C.3.2)</t>
  </si>
  <si>
    <t xml:space="preserve">Selects the stress intensity solution (KPSCL1 or KPSCL2) and reference stress (RPSCL)</t>
  </si>
  <si>
    <t xml:space="preserve">Stress input format</t>
  </si>
  <si>
    <t xml:space="preserve">Polynomial coefficients (sigma0 to sigma4)</t>
  </si>
  <si>
    <t xml:space="preserve">Options depend on the distribution: Membrane + Bending is available for both</t>
  </si>
  <si>
    <t xml:space="preserve">Solution code</t>
  </si>
  <si>
    <t xml:space="preserve">Stress intensity factor solution</t>
  </si>
  <si>
    <t xml:space="preserve">Reference stress solution</t>
  </si>
  <si>
    <t xml:space="preserve">Enter the stresses in</t>
  </si>
  <si>
    <t xml:space="preserve">Selection check</t>
  </si>
  <si>
    <t xml:space="preserve">MEMBRANE + BENDING  (used when the input format is Membrane + Bending)</t>
  </si>
  <si>
    <t xml:space="preserve">Primary membrane stress, Pm</t>
  </si>
  <si>
    <t xml:space="preserve">Primary bending stress, Pb</t>
  </si>
  <si>
    <t xml:space="preserve">Secondary membrane stress, Sm</t>
  </si>
  <si>
    <t xml:space="preserve">Secondary bending stress, Sb</t>
  </si>
  <si>
    <t xml:space="preserve">FOURTH-ORDER POLYNOMIAL  sigma(x) = s0 + s1(x/t) + ... + s4(x/t)^4   (Eqs. 9B.3 / 9C.3)  - used with Polynomial coefficients</t>
  </si>
  <si>
    <t xml:space="preserve">Primary polynomial sigma0</t>
  </si>
  <si>
    <t xml:space="preserve">Primary polynomial sigma1</t>
  </si>
  <si>
    <t xml:space="preserve">Primary polynomial P2</t>
  </si>
  <si>
    <t xml:space="preserve">Primary polynomial P3</t>
  </si>
  <si>
    <t xml:space="preserve">Primary polynomial P4</t>
  </si>
  <si>
    <t xml:space="preserve">Secondary polynomial sigma0</t>
  </si>
  <si>
    <t xml:space="preserve">Secondary polynomial sigma1</t>
  </si>
  <si>
    <t xml:space="preserve">Secondary polynomial Q2</t>
  </si>
  <si>
    <t xml:space="preserve">Secondary polynomial Q3</t>
  </si>
  <si>
    <t xml:space="preserve">Secondary polynomial Q4</t>
  </si>
  <si>
    <t xml:space="preserve">Primary Pm from polynomial</t>
  </si>
  <si>
    <t xml:space="preserve">Eq. 9C.4</t>
  </si>
  <si>
    <t xml:space="preserve">Primary Pb from polynomial</t>
  </si>
  <si>
    <t xml:space="preserve">Eq. 9C.5</t>
  </si>
  <si>
    <t xml:space="preserve">Secondary Sm from polynomial</t>
  </si>
  <si>
    <t xml:space="preserve">Secondary Sb from polynomial</t>
  </si>
  <si>
    <t xml:space="preserve">CRACK-FACE PRESSURE AND REFERENCE STRESS OPTION (all input formats)</t>
  </si>
  <si>
    <t xml:space="preserve">Crack-face pressure, pc</t>
  </si>
  <si>
    <t xml:space="preserve">Add pc to Pm for reference stress</t>
  </si>
  <si>
    <t xml:space="preserve">YES</t>
  </si>
  <si>
    <t xml:space="preserve">Conservative; engineering option</t>
  </si>
  <si>
    <t xml:space="preserve">Stress normal to the crack plane in the uncracked plate, x measured from the cracked surface (0 to t). Used when 5_Loads = Through-Wall Arbitrary Stress Distribution (KPSCL2) with Point-by-point profile (primary, secondary) and/or residual method = USER_PROFILE. Linear between points; the first point must be at x = 0 and the last at x = t. Up to 50 rows; blank rows are ignored.</t>
  </si>
  <si>
    <t xml:space="preserve">x/t</t>
  </si>
  <si>
    <t xml:space="preserve">Annex 9D. Residual stress is held constant (not scaled) and enters KISR and the stress ratio R.</t>
  </si>
  <si>
    <t xml:space="preserve">METHOD</t>
  </si>
  <si>
    <t xml:space="preserve">Residual stress method</t>
  </si>
  <si>
    <t xml:space="preserve">USER_DEFINED</t>
  </si>
  <si>
    <t xml:space="preserve">USER_PROFILE uses the residual column of 5B_Stress_Profile</t>
  </si>
  <si>
    <t xml:space="preserve">Residual membrane stress, Rm (USER_DEFINED)</t>
  </si>
  <si>
    <t xml:space="preserve">Residual bending stress, Rb (USER_DEFINED)</t>
  </si>
  <si>
    <t xml:space="preserve">ANNEX_9D DATA (9D.3.1 required data)</t>
  </si>
  <si>
    <t xml:space="preserve">Material specification (9D.3.1)</t>
  </si>
  <si>
    <t xml:space="preserve">SA-516 Gr 70</t>
  </si>
  <si>
    <t xml:space="preserve">Suggestion list; free text allowed</t>
  </si>
  <si>
    <t xml:space="preserve">Base material SMYS (blank = material DB)</t>
  </si>
  <si>
    <t xml:space="preserve">Residual yield basis</t>
  </si>
  <si>
    <t xml:space="preserve">ESTIMATED_FROM_SMYS</t>
  </si>
  <si>
    <t xml:space="preserve">Eq. 9D.1 or actual</t>
  </si>
  <si>
    <t xml:space="preserve">Actual yield strength</t>
  </si>
  <si>
    <t xml:space="preserve">Weld type</t>
  </si>
  <si>
    <t xml:space="preserve">BUTT_WELD</t>
  </si>
  <si>
    <t xml:space="preserve">Weld joint configuration</t>
  </si>
  <si>
    <t xml:space="preserve">FULL_PENETRATION</t>
  </si>
  <si>
    <t xml:space="preserve">Weld condition</t>
  </si>
  <si>
    <t xml:space="preserve">PWHT_UNIFORM</t>
  </si>
  <si>
    <t xml:space="preserve">Stress direction relative to weld</t>
  </si>
  <si>
    <t xml:space="preserve">PERPENDICULAR</t>
  </si>
  <si>
    <t xml:space="preserve">Pressure-test credit (9D.4.2)</t>
  </si>
  <si>
    <t xml:space="preserve">Residual yield strength sigma_ys_r</t>
  </si>
  <si>
    <t xml:space="preserve">Eq. 9D.1: SMYS + 69 MPa (SI) / + 10 ksi (FPS)</t>
  </si>
  <si>
    <t xml:space="preserve">Uniform PWHT stress</t>
  </si>
  <si>
    <t xml:space="preserve">Eq. 9D.3 (perpendicular) / 9D.4 (parallel)</t>
  </si>
  <si>
    <t xml:space="preserve">AS_WELDED PROFILE (applied as the actual through-wall profile)</t>
  </si>
  <si>
    <t xml:space="preserve">As-welded profile</t>
  </si>
  <si>
    <t xml:space="preserve">LONGITUDINAL_SEAM_PERPENDICULAR</t>
  </si>
  <si>
    <t xml:space="preserve">KPTC: conservative uniform envelope; surface crack: actual profile</t>
  </si>
  <si>
    <t xml:space="preserve">Distance from weld centreline, y</t>
  </si>
  <si>
    <t xml:space="preserve">Weld width, w</t>
  </si>
  <si>
    <t xml:space="preserve">Profile points</t>
  </si>
  <si>
    <t xml:space="preserve">points</t>
  </si>
  <si>
    <t xml:space="preserve">Each block applies scale factors to the 5_Loads stresses (primary + secondary). Blank rows are ignored. Up to 40 blocks.</t>
  </si>
  <si>
    <t xml:space="preserve">Block</t>
  </si>
  <si>
    <t xml:space="preserve">Min scale</t>
  </si>
  <si>
    <t xml:space="preserve">Max scale</t>
  </si>
  <si>
    <t xml:space="preserve">Cycles / block</t>
  </si>
  <si>
    <t xml:space="preserve">Range (max-min)</t>
  </si>
  <si>
    <t xml:space="preserve">Fraction of cycles</t>
  </si>
  <si>
    <t xml:space="preserve">A</t>
  </si>
  <si>
    <t xml:space="preserve">C</t>
  </si>
  <si>
    <t xml:space="preserve">D</t>
  </si>
  <si>
    <t xml:space="preserve">Total cycles</t>
  </si>
  <si>
    <t xml:space="preserve">Load-block chart: see PLOTS/..._P09_Load_Spectrum after running the case.</t>
  </si>
  <si>
    <t xml:space="preserve">Numerical controls and remaining-life acceptance (paragraph 9.5.1.2 STEP 6)</t>
  </si>
  <si>
    <t xml:space="preserve">NUMERICAL CONTROLS</t>
  </si>
  <si>
    <t xml:space="preserve">Maximum cycles (guard)</t>
  </si>
  <si>
    <t xml:space="preserve">cycles</t>
  </si>
  <si>
    <t xml:space="preserve">Maximum crack increment per step</t>
  </si>
  <si>
    <t xml:space="preserve">Critical crack bisection iterations</t>
  </si>
  <si>
    <t xml:space="preserve">iterations</t>
  </si>
  <si>
    <t xml:space="preserve">SIF-vs-crack points</t>
  </si>
  <si>
    <t xml:space="preserve">REMAINING LIFE ACCEPTANCE (9.5.1.2 STEP 6)</t>
  </si>
  <si>
    <t xml:space="preserve">Current flaw basis</t>
  </si>
  <si>
    <t xml:space="preserve">CURRENT_INSPECTED_FLAW</t>
  </si>
  <si>
    <t xml:space="preserve">Remaining life is calculated from c0 to the limiting flaw size</t>
  </si>
  <si>
    <t xml:space="preserve">Required remaining life (cycles)</t>
  </si>
  <si>
    <t xml:space="preserve">9.5.1.2 STEP 6(1)</t>
  </si>
  <si>
    <t xml:space="preserve">In-service life margin factor</t>
  </si>
  <si>
    <t xml:space="preserve">Project factor (&gt;= 1). Life must be &gt;= factor x required life; allowable service life = life / factor</t>
  </si>
  <si>
    <t xml:space="preserve">Minimum calculated life for acceptance</t>
  </si>
  <si>
    <t xml:space="preserve">factor x required life</t>
  </si>
  <si>
    <t xml:space="preserve">INSPECTION PLANNING (project basis - engineer approval required)</t>
  </si>
  <si>
    <t xml:space="preserve">Inspection fraction of allowable life</t>
  </si>
  <si>
    <t xml:space="preserve">fraction</t>
  </si>
  <si>
    <t xml:space="preserve">Illustrative project default - not an API 579 prescribed value</t>
  </si>
  <si>
    <t xml:space="preserve">Inspection interval cap (blank = none)</t>
  </si>
  <si>
    <t xml:space="preserve">Optional project / code cap, cycles</t>
  </si>
  <si>
    <t xml:space="preserve">Operating cycles per year (optional)</t>
  </si>
  <si>
    <t xml:space="preserve">cycles/yr</t>
  </si>
  <si>
    <t xml:space="preserve">Reports lives and interval in years</t>
  </si>
  <si>
    <t xml:space="preserve">Paragraph 9.4.4 Level 3: Method A with uncertainty evaluation (9.4.4.2) and Method D ductile tearing (9.4.4.1(d))</t>
  </si>
  <si>
    <t xml:space="preserve">METHOD A - SENSITIVITY ANALYSIS (9.4.4.2)</t>
  </si>
  <si>
    <t xml:space="preserve">Method A sensitivity analysis (9.4.4.2)</t>
  </si>
  <si>
    <t xml:space="preserve">One-at-a-time variation of each input + combined adverse case</t>
  </si>
  <si>
    <t xml:space="preserve">Input varied (one at a time)</t>
  </si>
  <si>
    <t xml:space="preserve">Include</t>
  </si>
  <si>
    <t xml:space="preserve">Low change (%)</t>
  </si>
  <si>
    <t xml:space="preserve">High change (%)</t>
  </si>
  <si>
    <t xml:space="preserve">Primary stress (Pm, Pb, pc)</t>
  </si>
  <si>
    <t xml:space="preserve">Secondary stress (Sm, Sb)</t>
  </si>
  <si>
    <t xml:space="preserve">Residual stress (Rm, Rb)</t>
  </si>
  <si>
    <t xml:space="preserve">Initial flaw size (c0 or a0)</t>
  </si>
  <si>
    <t xml:space="preserve">Fracture toughness Kmat</t>
  </si>
  <si>
    <t xml:space="preserve">Yield and tensile strength</t>
  </si>
  <si>
    <t xml:space="preserve">Crack growth rate (Paris C)</t>
  </si>
  <si>
    <t xml:space="preserve">Each case repeats the full Level 2 assessment, crack growth and remaining-life check. A combined adverse case (all inputs at their adverse end) is added automatically.</t>
  </si>
  <si>
    <t xml:space="preserve">PARTIAL SAFETY FACTOR CASE (project factors - 9.4.4.2)</t>
  </si>
  <si>
    <t xml:space="preserve">Partial safety factor case (9.4.4.2)</t>
  </si>
  <si>
    <t xml:space="preserve">NO</t>
  </si>
  <si>
    <t xml:space="preserve">Project-defined factors - API 579 2021 gives no PSF table</t>
  </si>
  <si>
    <t xml:space="preserve">PSF on primary stress (multiplier)</t>
  </si>
  <si>
    <t xml:space="preserve">factor</t>
  </si>
  <si>
    <t xml:space="preserve">Illustrative - set per project</t>
  </si>
  <si>
    <t xml:space="preserve">PSF on toughness (Kmat divided by)</t>
  </si>
  <si>
    <t xml:space="preserve">PSF on flaw size (c0 multiplier)</t>
  </si>
  <si>
    <t xml:space="preserve">METHOD D - DUCTILE TEARING (9.4.4.1(d), Annex 9F.4.13)</t>
  </si>
  <si>
    <t xml:space="preserve">Method D ductile tearing analysis (9.4.4.1(d))</t>
  </si>
  <si>
    <t xml:space="preserve">Only for materials with stable ductile tearing (upper-shelf ferritic, austenitic)</t>
  </si>
  <si>
    <t xml:space="preserve">J-R curve source</t>
  </si>
  <si>
    <t xml:space="preserve">TABLE_9F3</t>
  </si>
  <si>
    <t xml:space="preserve">TABLE_9F3 (typical data), CVN_9F130 (Eqs. 9F.130-9F.133) or PROJECT (approved test data)</t>
  </si>
  <si>
    <t xml:space="preserve">Table 9F.3 material record</t>
  </si>
  <si>
    <t xml:space="preserve">GENERIC_CS-1</t>
  </si>
  <si>
    <t xml:space="preserve">Typical values - actual data preferred</t>
  </si>
  <si>
    <t xml:space="preserve">Upper-shelf Charpy energy (CVN_9F130)</t>
  </si>
  <si>
    <t xml:space="preserve">J1mm basis (CVN_9F130)</t>
  </si>
  <si>
    <t xml:space="preserve">Eq. 9F.88 (lower) or 9F.86 (median)</t>
  </si>
  <si>
    <t xml:space="preserve">Project J-R coefficient C_R</t>
  </si>
  <si>
    <t xml:space="preserve">J_R = C_R (da)^nR</t>
  </si>
  <si>
    <t xml:space="preserve">Project J-R exponent nR</t>
  </si>
  <si>
    <t xml:space="preserve">Maximum tearing extension da</t>
  </si>
  <si>
    <t xml:space="preserve">Keep within the valid range of the J-R data</t>
  </si>
  <si>
    <t xml:space="preserve">Number of tearing points</t>
  </si>
  <si>
    <t xml:space="preserve">Maximum load factor searched</t>
  </si>
  <si>
    <t xml:space="preserve">Primary-load factor range for the instability search</t>
  </si>
  <si>
    <t xml:space="preserve">Table 9F.3 record - material</t>
  </si>
  <si>
    <t xml:space="preserve">Used when J-R source = TABLE_9F3</t>
  </si>
  <si>
    <t xml:space="preserve">Record test temperature</t>
  </si>
  <si>
    <t xml:space="preserve">Record thickness</t>
  </si>
  <si>
    <t xml:space="preserve">Initiation toughness Ji</t>
  </si>
  <si>
    <t xml:space="preserve">Coefficient C_R</t>
  </si>
  <si>
    <t xml:space="preserve">Exponent nR</t>
  </si>
  <si>
    <t xml:space="preserve">Method D is valid only for materials that tear in a stable ductile manner (ferritic steels on the upper shelf, austenitic stainless steels). Table 9F.3 data are typical values - use actual J-R test data when available.</t>
  </si>
  <si>
    <t xml:space="preserve">material_id</t>
  </si>
  <si>
    <t xml:space="preserve">specification</t>
  </si>
  <si>
    <t xml:space="preserve">grade</t>
  </si>
  <si>
    <t xml:space="preserve">product_form</t>
  </si>
  <si>
    <t xml:space="preserve">condition</t>
  </si>
  <si>
    <t xml:space="preserve">material_class</t>
  </si>
  <si>
    <t xml:space="preserve">exemption_curve</t>
  </si>
  <si>
    <t xml:space="preserve">lrmax_category</t>
  </si>
  <si>
    <t xml:space="preserve">default_growth_model</t>
  </si>
  <si>
    <t xml:space="preserve">default_toughness_method</t>
  </si>
  <si>
    <t xml:space="preserve">Paris n</t>
  </si>
  <si>
    <t xml:space="preserve">constraint</t>
  </si>
  <si>
    <t xml:space="preserve">note</t>
  </si>
  <si>
    <t xml:space="preserve">SMYS_MPa (source)</t>
  </si>
  <si>
    <t xml:space="preserve">SMYS_ksi (source)</t>
  </si>
  <si>
    <t xml:space="preserve">SMTS_MPa (source)</t>
  </si>
  <si>
    <t xml:space="preserve">SMTS_ksi (source)</t>
  </si>
  <si>
    <t xml:space="preserve">E_MPa (source)</t>
  </si>
  <si>
    <t xml:space="preserve">E_ksi (source)</t>
  </si>
  <si>
    <t xml:space="preserve">Kmat_MPa_sqrt_m (source)</t>
  </si>
  <si>
    <t xml:space="preserve">Kmat_ksi_sqrt_in (source)</t>
  </si>
  <si>
    <t xml:space="preserve">paris_C_mm_cycle (source)</t>
  </si>
  <si>
    <t xml:space="preserve">paris_C_in_cycle (source)</t>
  </si>
  <si>
    <t xml:space="preserve">dKth_MPa_sqrt_m (source)</t>
  </si>
  <si>
    <t xml:space="preserve">dKth_ksi_sqrt_in (source)</t>
  </si>
  <si>
    <t xml:space="preserve">REFERENCE</t>
  </si>
  <si>
    <t xml:space="preserve">350 MPa yield</t>
  </si>
  <si>
    <t xml:space="preserve">Generic</t>
  </si>
  <si>
    <t xml:space="preserve">N/A</t>
  </si>
  <si>
    <t xml:space="preserve">FLOW_STRESS</t>
  </si>
  <si>
    <t xml:space="preserve">PROJECT_MATERIAL_DATA</t>
  </si>
  <si>
    <t xml:space="preserve">ATLAS KPTC regression dataset (R1-R7 baseline). Not a material specification. FPS values are exact conversions.</t>
  </si>
  <si>
    <t xml:space="preserve">SA-36</t>
  </si>
  <si>
    <t xml:space="preserve">Plate/shape</t>
  </si>
  <si>
    <t xml:space="preserve">As-rolled</t>
  </si>
  <si>
    <t xml:space="preserve">CARBON_STEEL</t>
  </si>
  <si>
    <t xml:space="preserve">C_MN_STEEL</t>
  </si>
  <si>
    <t xml:space="preserve">9F4M_FERRITIC_PEARLITE_AIR</t>
  </si>
  <si>
    <t xml:space="preserve">9F42_ASME_XI_LOWER</t>
  </si>
  <si>
    <t xml:space="preserve">Exemption curve per API 579 Part 3 Table 3.2 (plates/shapes not listed -&gt; A)</t>
  </si>
  <si>
    <t xml:space="preserve">SA-285-C</t>
  </si>
  <si>
    <t xml:space="preserve">SA-285</t>
  </si>
  <si>
    <t xml:space="preserve">Gr C</t>
  </si>
  <si>
    <t xml:space="preserve">Plate</t>
  </si>
  <si>
    <t xml:space="preserve">Exemption curve per API 579 Part 3 Table 3.2 (Gr A/B are Curve B; Gr C not listed -&gt; A)</t>
  </si>
  <si>
    <t xml:space="preserve">SA-515-60</t>
  </si>
  <si>
    <t xml:space="preserve">SA-515</t>
  </si>
  <si>
    <t xml:space="preserve">Gr 60</t>
  </si>
  <si>
    <t xml:space="preserve">Exemption curve per API 579 Part 3 Table 3.2</t>
  </si>
  <si>
    <t xml:space="preserve">SA-515-70</t>
  </si>
  <si>
    <t xml:space="preserve">Gr 70</t>
  </si>
  <si>
    <t xml:space="preserve">Exemption curve per API 579 Part 3 Table 3.2 (not listed -&gt; A)</t>
  </si>
  <si>
    <t xml:space="preserve">SA-516-55</t>
  </si>
  <si>
    <t xml:space="preserve">SA-516</t>
  </si>
  <si>
    <t xml:space="preserve">Gr 55</t>
  </si>
  <si>
    <t xml:space="preserve">Not normalized</t>
  </si>
  <si>
    <t xml:space="preserve">SA-516-60</t>
  </si>
  <si>
    <t xml:space="preserve">SA-516-65</t>
  </si>
  <si>
    <t xml:space="preserve">Gr 65</t>
  </si>
  <si>
    <t xml:space="preserve">SA-516-70</t>
  </si>
  <si>
    <t xml:space="preserve">SA-516-70N</t>
  </si>
  <si>
    <t xml:space="preserve">Normalized</t>
  </si>
  <si>
    <t xml:space="preserve">SA-537-CL1</t>
  </si>
  <si>
    <t xml:space="preserve">SA-537</t>
  </si>
  <si>
    <t xml:space="preserve">Cl 1</t>
  </si>
  <si>
    <t xml:space="preserve">Exemption curve per API 579 Part 3 Table 3.2; SMYS for t &lt;= 65 mm (2.5 in)</t>
  </si>
  <si>
    <t xml:space="preserve">SA-106-B</t>
  </si>
  <si>
    <t xml:space="preserve">SA-106</t>
  </si>
  <si>
    <t xml:space="preserve">Gr B</t>
  </si>
  <si>
    <t xml:space="preserve">Seamless pipe</t>
  </si>
  <si>
    <t xml:space="preserve">Exemption curve per API 579 Part 3 Table 3.2 (all pipe -&gt; B)</t>
  </si>
  <si>
    <t xml:space="preserve">SA-106-C</t>
  </si>
  <si>
    <t xml:space="preserve">SA-53-B</t>
  </si>
  <si>
    <t xml:space="preserve">SA-53</t>
  </si>
  <si>
    <t xml:space="preserve">Pipe</t>
  </si>
  <si>
    <t xml:space="preserve">SA-333-6</t>
  </si>
  <si>
    <t xml:space="preserve">SA-333</t>
  </si>
  <si>
    <t xml:space="preserve">Gr 6</t>
  </si>
  <si>
    <t xml:space="preserve">SA-234-WPB</t>
  </si>
  <si>
    <t xml:space="preserve">SA-234</t>
  </si>
  <si>
    <t xml:space="preserve">WPB</t>
  </si>
  <si>
    <t xml:space="preserve">Fitting</t>
  </si>
  <si>
    <t xml:space="preserve">Exemption curve per API 579 Part 3 Table 3.2 (fittings -&gt; B)</t>
  </si>
  <si>
    <t xml:space="preserve">SA-105</t>
  </si>
  <si>
    <t xml:space="preserve">Forging</t>
  </si>
  <si>
    <t xml:space="preserve">As-forged, 1989 or later</t>
  </si>
  <si>
    <t xml:space="preserve">Exemption curve per API 579 Part 3 Table 3.2 (curve depends on heat treatment/vintage - confirm)</t>
  </si>
  <si>
    <t xml:space="preserve">SA-350-LF2</t>
  </si>
  <si>
    <t xml:space="preserve">SA-350</t>
  </si>
  <si>
    <t xml:space="preserve">LF2 Cl 1</t>
  </si>
  <si>
    <t xml:space="preserve">Exemption curve per API 579 Part 3 Table 3.2 (forgings not listed -&gt; B)</t>
  </si>
  <si>
    <t xml:space="preserve">API-5L-X52</t>
  </si>
  <si>
    <t xml:space="preserve">API 5L</t>
  </si>
  <si>
    <t xml:space="preserve">X52 PSL2</t>
  </si>
  <si>
    <t xml:space="preserve">Line pipe</t>
  </si>
  <si>
    <t xml:space="preserve">9F9M_X52_DOE</t>
  </si>
  <si>
    <t xml:space="preserve">API-5L-X60</t>
  </si>
  <si>
    <t xml:space="preserve">X60 PSL2</t>
  </si>
  <si>
    <t xml:space="preserve">API-5L-X65</t>
  </si>
  <si>
    <t xml:space="preserve">X65 PSL2</t>
  </si>
  <si>
    <t xml:space="preserve">9F9M_X65_AIR</t>
  </si>
  <si>
    <t xml:space="preserve">API-5L-X70</t>
  </si>
  <si>
    <t xml:space="preserve">X70 PSL2</t>
  </si>
  <si>
    <t xml:space="preserve">SA-387-11-CL2</t>
  </si>
  <si>
    <t xml:space="preserve">SA-387</t>
  </si>
  <si>
    <t xml:space="preserve">Gr 11 Cl 2</t>
  </si>
  <si>
    <t xml:space="preserve">N&amp;T</t>
  </si>
  <si>
    <t xml:space="preserve">LOW_ALLOY_STEEL</t>
  </si>
  <si>
    <t xml:space="preserve">9F43_MASTER_CURVE</t>
  </si>
  <si>
    <t xml:space="preserve">Exemption curve per API 579 Part 3 Table 3.2 (not listed -&gt; A; B if fine-grain normalized)</t>
  </si>
  <si>
    <t xml:space="preserve">SA-387-22-CL2</t>
  </si>
  <si>
    <t xml:space="preserve">Gr 22 Cl 2</t>
  </si>
  <si>
    <t xml:space="preserve">Exemption curve per API 579 Part 3 Table 3.2 (Gr 22 N&amp;T -&gt; C)</t>
  </si>
  <si>
    <t xml:space="preserve">SA-335-P11</t>
  </si>
  <si>
    <t xml:space="preserve">SA-335</t>
  </si>
  <si>
    <t xml:space="preserve">P11</t>
  </si>
  <si>
    <t xml:space="preserve">SA-335-P22</t>
  </si>
  <si>
    <t xml:space="preserve">P22</t>
  </si>
  <si>
    <t xml:space="preserve">SA-182-F22-CL3</t>
  </si>
  <si>
    <t xml:space="preserve">SA-182</t>
  </si>
  <si>
    <t xml:space="preserve">F22 Cl 3</t>
  </si>
  <si>
    <t xml:space="preserve">Exemption curve per API 579 Part 3 Table 3.2 (F22 N&amp;T -&gt; C)</t>
  </si>
  <si>
    <t xml:space="preserve">SA-508-3-CL1</t>
  </si>
  <si>
    <t xml:space="preserve">SA-508</t>
  </si>
  <si>
    <t xml:space="preserve">Gr 3 Cl 1</t>
  </si>
  <si>
    <t xml:space="preserve">Q&amp;T</t>
  </si>
  <si>
    <t xml:space="preserve">ASTM_A508</t>
  </si>
  <si>
    <t xml:space="preserve">Exemption curve per API 579 Part 3 Table 3.2 (SA-508 Cl 1 is D; Gr 3 forgings -&gt; B)</t>
  </si>
  <si>
    <t xml:space="preserve">SA-533-B-CL1</t>
  </si>
  <si>
    <t xml:space="preserve">SA-533</t>
  </si>
  <si>
    <t xml:space="preserve">Type B Cl 1</t>
  </si>
  <si>
    <t xml:space="preserve">SA-240-304</t>
  </si>
  <si>
    <t xml:space="preserve">SA-240</t>
  </si>
  <si>
    <t xml:space="preserve">Solution annealed</t>
  </si>
  <si>
    <t xml:space="preserve">AUSTENITIC_SS</t>
  </si>
  <si>
    <t xml:space="preserve">9F4M_AUSTENITIC_SS_AIR</t>
  </si>
  <si>
    <t xml:space="preserve">9F412_AUSTENITIC_JC</t>
  </si>
  <si>
    <t xml:space="preserve">Austenitic: no exemption curve</t>
  </si>
  <si>
    <t xml:space="preserve">SA-240-304L</t>
  </si>
  <si>
    <t xml:space="preserve">304L</t>
  </si>
  <si>
    <t xml:space="preserve">SA-240-316</t>
  </si>
  <si>
    <t xml:space="preserve">SA-240-316L</t>
  </si>
  <si>
    <t xml:space="preserve">316L</t>
  </si>
  <si>
    <t xml:space="preserve">SA-240-321</t>
  </si>
  <si>
    <t xml:space="preserve">SA-240-347</t>
  </si>
  <si>
    <t xml:space="preserve">SA-312-TP304</t>
  </si>
  <si>
    <t xml:space="preserve">SA-312</t>
  </si>
  <si>
    <t xml:space="preserve">TP304</t>
  </si>
  <si>
    <t xml:space="preserve">SA-312-TP316L</t>
  </si>
  <si>
    <t xml:space="preserve">TP316L</t>
  </si>
  <si>
    <t xml:space="preserve">Source: data/materials_db.csv. Specified minimum strengths per material specification (confirm against the current edition); exemption curves per API 579 Part 3 Table 3.2; E values typical. Values follow the Unit System drop-down on the Cover sheet.</t>
  </si>
  <si>
    <t xml:space="preserve">model_id</t>
  </si>
  <si>
    <t xml:space="preserve">R_range</t>
  </si>
  <si>
    <t xml:space="preserve">equation</t>
  </si>
  <si>
    <t xml:space="preserve">description</t>
  </si>
  <si>
    <t xml:space="preserve">applicability</t>
  </si>
  <si>
    <t xml:space="preserve">C1_SI_mm_cycle (source)</t>
  </si>
  <si>
    <t xml:space="preserve">C1_US_in_cycle (source)</t>
  </si>
  <si>
    <t xml:space="preserve">C2_SI_mm_cycle (source)</t>
  </si>
  <si>
    <t xml:space="preserve">C2_US_in_cycle (source)</t>
  </si>
  <si>
    <t xml:space="preserve">dKtran_SI (source)</t>
  </si>
  <si>
    <t xml:space="preserve">dKtran_US (source)</t>
  </si>
  <si>
    <t xml:space="preserve">dKth_SI (source)</t>
  </si>
  <si>
    <t xml:space="preserve">dKth_US (source)</t>
  </si>
  <si>
    <t xml:space="preserve">Material DB</t>
  </si>
  <si>
    <t xml:space="preserve">PARIS_9F135</t>
  </si>
  <si>
    <t xml:space="preserve">C, n, dKth from selected material record</t>
  </si>
  <si>
    <t xml:space="preserve">Approved material-specific data</t>
  </si>
  <si>
    <t xml:space="preserve">PROJECT_USER_PARIS</t>
  </si>
  <si>
    <t xml:space="preserve">User-entered Paris C, n, dKth (4_Crack_Growth sheet)</t>
  </si>
  <si>
    <t xml:space="preserve">Approved project data</t>
  </si>
  <si>
    <t xml:space="preserve">9F4M_MARTENSITIC_AIR</t>
  </si>
  <si>
    <t xml:space="preserve">Barsom - martensitic steel, air</t>
  </si>
  <si>
    <t xml:space="preserve">Sy 552-2068 MPa (80-300 ksi); room temperature; air/non-aggressive</t>
  </si>
  <si>
    <t xml:space="preserve">7.0*(1-0.85*R)</t>
  </si>
  <si>
    <t xml:space="preserve">6.37*(1-0.85*R)</t>
  </si>
  <si>
    <t xml:space="preserve">Barsom - ferritic-pearlite steel, air</t>
  </si>
  <si>
    <t xml:space="preserve">Room temperature; air/non-aggressive</t>
  </si>
  <si>
    <t xml:space="preserve">Barsom - austenitic stainless steel, air</t>
  </si>
  <si>
    <t xml:space="preserve">9F5M_WELD_UPPER</t>
  </si>
  <si>
    <t xml:space="preserve">WELD_9F140</t>
  </si>
  <si>
    <t xml:space="preserve">Welded joints - upper bound (99.5% survival)</t>
  </si>
  <si>
    <t xml:space="preserve">Steels in air/non-corrosive; constant or random amplitude</t>
  </si>
  <si>
    <t xml:space="preserve">9F5M_WELD_MEAN</t>
  </si>
  <si>
    <t xml:space="preserve">Welded joints - mean (50% survival)</t>
  </si>
  <si>
    <t xml:space="preserve">9F6M_AIR_LE100C</t>
  </si>
  <si>
    <t xml:space="preserve">BS 7910 screening - air &lt;= 100 C (212 F)</t>
  </si>
  <si>
    <t xml:space="preserve">Ferritic/austenitic; Sy &lt;= 600 MPa (87 ksi)</t>
  </si>
  <si>
    <t xml:space="preserve">9F6M_AIR_100_600C</t>
  </si>
  <si>
    <t xml:space="preserve">PARIS_TEMP_9F137</t>
  </si>
  <si>
    <t xml:space="preserve">BS 7910 screening - air 100-600 C (212-1112 F), f &gt;= 1 Hz</t>
  </si>
  <si>
    <t xml:space="preserve">Ferritic/austenitic; requires E ratio (Eq. 9F.139)</t>
  </si>
  <si>
    <t xml:space="preserve">9F6M_MARINE_CP</t>
  </si>
  <si>
    <t xml:space="preserve">BS 7910 screening - marine with CP &lt;= 20 C (68 F)</t>
  </si>
  <si>
    <t xml:space="preserve">Ferritic steels</t>
  </si>
  <si>
    <t xml:space="preserve">9F6M_MARINE_FREE</t>
  </si>
  <si>
    <t xml:space="preserve">BS 7910 screening - marine without CP &lt;= 20 C (68 F)</t>
  </si>
  <si>
    <t xml:space="preserve">9F7M_AIR_UPPER</t>
  </si>
  <si>
    <t xml:space="preserve">R&lt;0.5</t>
  </si>
  <si>
    <t xml:space="preserve">BILINEAR_9F149</t>
  </si>
  <si>
    <t xml:space="preserve">Steel in air - two-stage, mean+2SD</t>
  </si>
  <si>
    <t xml:space="preserve">Thresholds Table 9F.8; Sy &lt;= 700 MPa (101 ksi), air &lt;= 100 C</t>
  </si>
  <si>
    <t xml:space="preserve">9F7M_AIR_MEAN</t>
  </si>
  <si>
    <t xml:space="preserve">Steel in air - two-stage, mean</t>
  </si>
  <si>
    <t xml:space="preserve">R&gt;=0.5</t>
  </si>
  <si>
    <t xml:space="preserve">9F7M_MARINE_FREE_UPPER</t>
  </si>
  <si>
    <t xml:space="preserve">Steel freely corroding, marine - two-stage, mean+2SD</t>
  </si>
  <si>
    <t xml:space="preserve">Thresholds Table 9F.8; Sy &lt;= 600 MPa (87 ksi), excl. austenitic/duplex, &lt;= 20 C</t>
  </si>
  <si>
    <t xml:space="preserve">9F7M_MARINE_FREE_MEAN</t>
  </si>
  <si>
    <t xml:space="preserve">Steel freely corroding, marine - two-stage, mean</t>
  </si>
  <si>
    <t xml:space="preserve">9F7M_MARINE_CP850_UPPER</t>
  </si>
  <si>
    <t xml:space="preserve">Steel, marine, CP -850 mV (Ag/AgCl) - two-stage, mean+2SD</t>
  </si>
  <si>
    <t xml:space="preserve">9F7M_MARINE_CP850_MEAN</t>
  </si>
  <si>
    <t xml:space="preserve">Steel, marine, CP -850 mV (Ag/AgCl) - two-stage, mean</t>
  </si>
  <si>
    <t xml:space="preserve">9F7M_MARINE_CP1100_UPPER</t>
  </si>
  <si>
    <t xml:space="preserve">Steel, marine, CP -1100 mV (Ag/AgCl) - two-stage, mean+2SD</t>
  </si>
  <si>
    <t xml:space="preserve">9F7M_MARINE_CP1100_MEAN</t>
  </si>
  <si>
    <t xml:space="preserve">Steel, marine, CP -1100 mV (Ag/AgCl) - two-stage, mean</t>
  </si>
  <si>
    <t xml:space="preserve">9F9M_BARSOM_FP</t>
  </si>
  <si>
    <t xml:space="preserve">Barsom &amp; Rolfe - typical ferrite-pearlite</t>
  </si>
  <si>
    <t xml:space="preserve">API RP 1176 line pipe, upper bound; no tabulated threshold (dKth = 0 unless overridden)</t>
  </si>
  <si>
    <t xml:space="preserve">9F9M_X65_AQUEOUS</t>
  </si>
  <si>
    <t xml:space="preserve">Vosikovsky - X65 aqueous</t>
  </si>
  <si>
    <t xml:space="preserve">9F9M_GRADE_B</t>
  </si>
  <si>
    <t xml:space="preserve">Andreason &amp; Vitovec - Grade B</t>
  </si>
  <si>
    <t xml:space="preserve">Keller et al. (DOE) - X52</t>
  </si>
  <si>
    <t xml:space="preserve">9F9M_TMCP</t>
  </si>
  <si>
    <t xml:space="preserve">San Marchi / Stahlheim - TMCP</t>
  </si>
  <si>
    <t xml:space="preserve">9F9M_VINTAGE_DC_ERW</t>
  </si>
  <si>
    <t xml:space="preserve">Vintage 1950s - Youngstown DC-ERW</t>
  </si>
  <si>
    <t xml:space="preserve">9F9M_VINTAGE_KAISER_SSAW</t>
  </si>
  <si>
    <t xml:space="preserve">Vintage 1950s - Kaiser SSAW</t>
  </si>
  <si>
    <t xml:space="preserve">9F9M_VINTAGE_AO_SMITH</t>
  </si>
  <si>
    <t xml:space="preserve">Vintage 1950s - A.O. Smith</t>
  </si>
  <si>
    <t xml:space="preserve">9F9M_X60_SCC_FATIGUE</t>
  </si>
  <si>
    <t xml:space="preserve">Lambert et al. - X60 fatigue component of SCC lab test</t>
  </si>
  <si>
    <t xml:space="preserve">9F9M_X52_ERW_AIR</t>
  </si>
  <si>
    <t xml:space="preserve">Maxey - 250/300 mm OD X52 ERW, air</t>
  </si>
  <si>
    <t xml:space="preserve">9F9M_X52_ERW_NACL</t>
  </si>
  <si>
    <t xml:space="preserve">Maxey - 250/300 mm OD X52 ERW, NaCl free corrosion</t>
  </si>
  <si>
    <t xml:space="preserve">Vosikovsky - X65 air (bilinear)</t>
  </si>
  <si>
    <t xml:space="preserve">API RP 1176 line pipe, upper bound; no tabulated threshold</t>
  </si>
  <si>
    <t xml:space="preserve">9F9M_X65_SWEAT_CRUDE</t>
  </si>
  <si>
    <t xml:space="preserve">Vosikovsky - X65 sweat crude (bilinear)</t>
  </si>
  <si>
    <t xml:space="preserve">9F9M_X65_SOUR_CRUDE</t>
  </si>
  <si>
    <t xml:space="preserve">Vosikovsky - X65 sour crude (bilinear)</t>
  </si>
  <si>
    <t xml:space="preserve">9F5339_SOUR_CRUDE</t>
  </si>
  <si>
    <t xml:space="preserve">PIPELINE_9F156</t>
  </si>
  <si>
    <t xml:space="preserve">Pipeline steel, sour crude (H2S) - Eqs. 9F.156-9F.164 (mean)</t>
  </si>
  <si>
    <t xml:space="preserve">API 5L at ambient temperature; requires H2S ppm</t>
  </si>
  <si>
    <t xml:space="preserve">9F5339_SWEAT_CRUDE</t>
  </si>
  <si>
    <t xml:space="preserve">Pipeline steel, sweat crude - Eqs. 9F.156-9F.159, 9F.165-9F.169 (mean)</t>
  </si>
  <si>
    <t xml:space="preserve">API 5L at ambient temperature</t>
  </si>
  <si>
    <t xml:space="preserve">Source: data/growth_models.csv (SI Tables 9F.xM / US Customary Tables 9F.x). PROJECT_* models take constants from the material record or 4_Crack_Growth. 9F.5.3.9 equations are SI-only in the standard. Values follow the Unit System drop-down on the Cover sheet.</t>
  </si>
  <si>
    <t xml:space="preserve">method_id</t>
  </si>
  <si>
    <t xml:space="preserve">clause</t>
  </si>
  <si>
    <t xml:space="preserve">scope</t>
  </si>
  <si>
    <t xml:space="preserve">status</t>
  </si>
  <si>
    <t xml:space="preserve">summary</t>
  </si>
  <si>
    <t xml:space="preserve">9.3.5.2</t>
  </si>
  <si>
    <t xml:space="preserve">Any</t>
  </si>
  <si>
    <t xml:space="preserve">IMPLEMENTED</t>
  </si>
  <si>
    <t xml:space="preserve">Approved measured/project Kmat, or Kmat stored in the material record</t>
  </si>
  <si>
    <t xml:space="preserve">PROJECT_TEST_SET</t>
  </si>
  <si>
    <t xml:space="preserve">9F.3.3.2(c) / Table 9F.1</t>
  </si>
  <si>
    <t xml:space="preserve">Equivalent minimum-of-three from 3-30 test values with Table 9F.1 Note 2 scatter check</t>
  </si>
  <si>
    <t xml:space="preserve">9F.4.12 / Table 9F.2</t>
  </si>
  <si>
    <t xml:space="preserve">Austenitic SS 304/308/309/316/321/347</t>
  </si>
  <si>
    <t xml:space="preserve">Jc (mean or 90/95 lower bound) -&gt; KJc by Eq. 9F.36; linear interpolation 125-400 C (257-752 F) per Note 3</t>
  </si>
  <si>
    <t xml:space="preserve">9F.4.2</t>
  </si>
  <si>
    <t xml:space="preserve">Ferritic carbon/low-alloy</t>
  </si>
  <si>
    <t xml:space="preserve">KIC Eq. 9F.44 / KIR Eq. 9F.46 with Tref by DIRECT, EQ_9F29, TABLE_9_2 exact or conservative row; 9F.4.2.1(e) truncation</t>
  </si>
  <si>
    <t xml:space="preserve">9F.4.3</t>
  </si>
  <si>
    <t xml:space="preserve">Eq. 9F.84 with T0 by DIRECT / Option A / Option D; optional H2 shift (9F.4.6) and 9F.4.4 upper-shelf limit</t>
  </si>
  <si>
    <t xml:space="preserve">9F44_UPPER_SHELF</t>
  </si>
  <si>
    <t xml:space="preserve">9F.4.4</t>
  </si>
  <si>
    <t xml:space="preserve">Carbon/low-alloy</t>
  </si>
  <si>
    <t xml:space="preserve">Option A Wallin CVN correlation (9F.86/9F.88/9F.90) or Option B fixed 110/220 MPa√m (100/200 ksi√in)</t>
  </si>
  <si>
    <t xml:space="preserve">9F45_DYNAMIC</t>
  </si>
  <si>
    <t xml:space="preserve">9F.4.5.2</t>
  </si>
  <si>
    <t xml:space="preserve">Master Curve with T0D = T0 + dTs (Eqs. 9F.93, 9F.95, 9F.97)</t>
  </si>
  <si>
    <t xml:space="preserve">9F45_ARREST</t>
  </si>
  <si>
    <t xml:space="preserve">9F.4.5.3</t>
  </si>
  <si>
    <t xml:space="preserve">Master Curve with T0A = T0 + dTs (Eqs. 9F.98/9F.100, 9F.102); required by 9F.4.6.2(a)(3) for H &gt; 1 ppm in CS/low-Cr</t>
  </si>
  <si>
    <t xml:space="preserve">9F47_CRMO_AGING</t>
  </si>
  <si>
    <t xml:space="preserve">9F.4.7</t>
  </si>
  <si>
    <t xml:space="preserve">1.25Cr-0.5Mo / 2.25Cr-1Mo</t>
  </si>
  <si>
    <t xml:space="preserve">T0 from chemistry (X-bar or J factor, Eqs. 9F.107-9F.121); lower of aged and non-aged Master Curve Kmat per 9F.4.7.1</t>
  </si>
  <si>
    <t xml:space="preserve">9F46_DEGRADATION_OTHER</t>
  </si>
  <si>
    <t xml:space="preserve">9F.4.6.3</t>
  </si>
  <si>
    <t xml:space="preserve">Other embrittlement</t>
  </si>
  <si>
    <t xml:space="preserve">GATED</t>
  </si>
  <si>
    <t xml:space="preserve">Strain-age, 885, sigma embrittlement require test data (9F.4.6.3(b)) - use PROJECT_KMAT / PROJECT_TEST_SET</t>
  </si>
  <si>
    <t xml:space="preserve">Source: data/toughness_methods.csv</t>
  </si>
  <si>
    <t xml:space="preserve">transition basis</t>
  </si>
  <si>
    <t xml:space="preserve">20 J (15 ft-lb)</t>
  </si>
  <si>
    <t xml:space="preserve">27 J (20 ft-lb)</t>
  </si>
  <si>
    <t xml:space="preserve">temperature</t>
  </si>
  <si>
    <t xml:space="preserve">Jc_mean_kJ_m2 (source)</t>
  </si>
  <si>
    <t xml:space="preserve">Jc_mean_inlb_in2 (source)</t>
  </si>
  <si>
    <t xml:space="preserve">Jc_lower_kJ_m2 (source)</t>
  </si>
  <si>
    <t xml:space="preserve">Jc_lower_inlb_in2 (source)</t>
  </si>
  <si>
    <t xml:space="preserve">dJda_mean_MPa (source)</t>
  </si>
  <si>
    <t xml:space="preserve">dJda_mean_ksi (source)</t>
  </si>
  <si>
    <t xml:space="preserve">dJda_lower_MPa (source)</t>
  </si>
  <si>
    <t xml:space="preserve">dJda_lower_ksi (source)</t>
  </si>
  <si>
    <t xml:space="preserve">GTA_WELD</t>
  </si>
  <si>
    <t xml:space="preserve">SA_WELD</t>
  </si>
  <si>
    <t xml:space="preserve">API 579 Table 9F.2M (SI) / 9F.2 (FPS) - Types 304/308/309/316/321/347; linear interpolation permitted between the bands. Values follow the Unit System drop-down on the Cover sheet.</t>
  </si>
  <si>
    <t xml:space="preserve">Lr \ X</t>
  </si>
  <si>
    <t xml:space="preserve">0.0</t>
  </si>
  <si>
    <t xml:space="preserve">0.02</t>
  </si>
  <si>
    <t xml:space="preserve">0.04</t>
  </si>
  <si>
    <t xml:space="preserve">0.06</t>
  </si>
  <si>
    <t xml:space="preserve">0.08</t>
  </si>
  <si>
    <t xml:space="preserve">0.1</t>
  </si>
  <si>
    <t xml:space="preserve">0.2</t>
  </si>
  <si>
    <t xml:space="preserve">0.3</t>
  </si>
  <si>
    <t xml:space="preserve">0.4</t>
  </si>
  <si>
    <t xml:space="preserve">0.5</t>
  </si>
  <si>
    <t xml:space="preserve">1.0</t>
  </si>
  <si>
    <t xml:space="preserve">1.5</t>
  </si>
  <si>
    <t xml:space="preserve">2.0</t>
  </si>
  <si>
    <t xml:space="preserve">2.5</t>
  </si>
  <si>
    <t xml:space="preserve">3.0</t>
  </si>
  <si>
    <t xml:space="preserve">3.5</t>
  </si>
  <si>
    <t xml:space="preserve">4.0</t>
  </si>
  <si>
    <t xml:space="preserve">4.5</t>
  </si>
  <si>
    <t xml:space="preserve">5.0</t>
  </si>
  <si>
    <t xml:space="preserve">API 579 Table 9.3 plasticity interaction factor xi(Lr, X) - dimensionless; last column is X &gt;= 5, last row Lr &gt;= 2</t>
  </si>
  <si>
    <t xml:space="preserve">category</t>
  </si>
  <si>
    <t xml:space="preserve">Lr_max</t>
  </si>
  <si>
    <t xml:space="preserve">basis</t>
  </si>
  <si>
    <t xml:space="preserve">YIELD_PLATEAU</t>
  </si>
  <si>
    <t xml:space="preserve">Fig 9.19 Note 2(a)</t>
  </si>
  <si>
    <t xml:space="preserve">Materials with yield point plateau (strain hardening exponent &gt; 15)</t>
  </si>
  <si>
    <t xml:space="preserve">Fig 9.19 Note 2(b)</t>
  </si>
  <si>
    <t xml:space="preserve">ASTM A508</t>
  </si>
  <si>
    <t xml:space="preserve">Fig 9.19 Note 2(c)</t>
  </si>
  <si>
    <t xml:space="preserve">C-Mn steels</t>
  </si>
  <si>
    <t xml:space="preserve">Fig 9.19 Note 2(d)</t>
  </si>
  <si>
    <t xml:space="preserve">Austenitic stainless steels</t>
  </si>
  <si>
    <t xml:space="preserve">SIGMA_F/SIGMA_YS</t>
  </si>
  <si>
    <t xml:space="preserve">Fig 9.19 Note 2(e)</t>
  </si>
  <si>
    <t xml:space="preserve">Other materials: flow stress (Sy+Su)/2 divided by Sy at assessment temperature</t>
  </si>
  <si>
    <t xml:space="preserve">UNKNOWN</t>
  </si>
  <si>
    <t xml:space="preserve">Fig 9.19 Note 2(f)</t>
  </si>
  <si>
    <t xml:space="preserve">Strain hardening characteristics unknown</t>
  </si>
  <si>
    <t xml:space="preserve">API 579 Figure 9.19 Note 2</t>
  </si>
  <si>
    <t xml:space="preserve">weld_condition</t>
  </si>
  <si>
    <t xml:space="preserve">equations</t>
  </si>
  <si>
    <t xml:space="preserve">KPTC treatment</t>
  </si>
  <si>
    <t xml:space="preserve">notes</t>
  </si>
  <si>
    <t xml:space="preserve">ACTIVE</t>
  </si>
  <si>
    <t xml:space="preserve">Rm = Rb = 0</t>
  </si>
  <si>
    <t xml:space="preserve">No residual stress</t>
  </si>
  <si>
    <t xml:space="preserve">Project data</t>
  </si>
  <si>
    <t xml:space="preserve">Uses entered Rm/Rb</t>
  </si>
  <si>
    <t xml:space="preserve">Legacy/project residual membrane + bending</t>
  </si>
  <si>
    <t xml:space="preserve">ANNEX_9D</t>
  </si>
  <si>
    <t xml:space="preserve">9D.1, 9D.3 (perpendicular) / 9D.4 (parallel)</t>
  </si>
  <si>
    <t xml:space="preserve">Rm = uniform stress; Rb = 0 (exact)</t>
  </si>
  <si>
    <t xml:space="preserve">Code-compliant uniform PWHT (9D.4.1)</t>
  </si>
  <si>
    <t xml:space="preserve">AS_WELDED (LONGITUDINAL_SEAM_PERPENDICULAR)</t>
  </si>
  <si>
    <t xml:space="preserve">ACTIVE - CONSERVATIVE ENVELOPE</t>
  </si>
  <si>
    <t xml:space="preserve">9D.22-9D.24</t>
  </si>
  <si>
    <t xml:space="preserve">Rm = peak of profile (uniform bound); Rb = 0</t>
  </si>
  <si>
    <t xml:space="preserve">Linearized 9B.1/9B.2 values reported for information only (Annex 9G.2.2)</t>
  </si>
  <si>
    <t xml:space="preserve">AS_WELDED (TEE_MAIN_PLATE_PERPENDICULAR)</t>
  </si>
  <si>
    <t xml:space="preserve">9D.49-9D.57</t>
  </si>
  <si>
    <t xml:space="preserve">Linearized 9B.1/9B.2 values reported for information only</t>
  </si>
  <si>
    <t xml:space="preserve">UNIFORM_YIELD</t>
  </si>
  <si>
    <t xml:space="preserve">9D.1</t>
  </si>
  <si>
    <t xml:space="preserve">Rm = sigma_ys_r; Rb = 0</t>
  </si>
  <si>
    <t xml:space="preserve">Simple uniform yield-magnitude assumption (user choice)</t>
  </si>
  <si>
    <t xml:space="preserve">PRESSURE_TEST_CREDIT</t>
  </si>
  <si>
    <t xml:space="preserve">9D.4.2</t>
  </si>
  <si>
    <t xml:space="preserve">Not applied</t>
  </si>
  <si>
    <t xml:space="preserve">Requires case-specific quantification; not combined with PWHT</t>
  </si>
  <si>
    <t xml:space="preserve">Annex 9D residual stress routes available to the KPTC solver</t>
  </si>
  <si>
    <t xml:space="preserve">jr_id</t>
  </si>
  <si>
    <t xml:space="preserve">material</t>
  </si>
  <si>
    <t xml:space="preserve">nR</t>
  </si>
  <si>
    <t xml:space="preserve">T_C (source)</t>
  </si>
  <si>
    <t xml:space="preserve">T_F (source)</t>
  </si>
  <si>
    <t xml:space="preserve">t_mm (source)</t>
  </si>
  <si>
    <t xml:space="preserve">t_in (source)</t>
  </si>
  <si>
    <t xml:space="preserve">Ji_kJ_m2 (source)</t>
  </si>
  <si>
    <t xml:space="preserve">Ji_inlb_in2 (source)</t>
  </si>
  <si>
    <t xml:space="preserve">CR_SI (source)</t>
  </si>
  <si>
    <t xml:space="preserve">CR_US (source)</t>
  </si>
  <si>
    <t xml:space="preserve">Generic CS-1</t>
  </si>
  <si>
    <t xml:space="preserve">Table 9F.3M / 9F.3: J_R = C_R (da)^nR; SI J kJ/m2, da mm; US J in-lb/in2, da in; typical values - actual data preferred</t>
  </si>
  <si>
    <t xml:space="preserve">GENERIC_CS-2</t>
  </si>
  <si>
    <t xml:space="preserve">Generic CS-2</t>
  </si>
  <si>
    <t xml:space="preserve">GENERIC_CS-3</t>
  </si>
  <si>
    <t xml:space="preserve">Generic CS-3</t>
  </si>
  <si>
    <t xml:space="preserve">T_304_SS</t>
  </si>
  <si>
    <t xml:space="preserve">T 304 SS</t>
  </si>
  <si>
    <t xml:space="preserve">GENERIC_SS_SMAW</t>
  </si>
  <si>
    <t xml:space="preserve">Generic SS/SMAW</t>
  </si>
  <si>
    <t xml:space="preserve">GENERIC_SS_SAW</t>
  </si>
  <si>
    <t xml:space="preserve">Generic SS/SAW</t>
  </si>
  <si>
    <t xml:space="preserve">A508_CL3</t>
  </si>
  <si>
    <t xml:space="preserve">A508 Cl3</t>
  </si>
  <si>
    <t xml:space="preserve">A106_GR_B_NPS_8_PIPE</t>
  </si>
  <si>
    <t xml:space="preserve">A106 Gr B (NPS 8 pipe)</t>
  </si>
  <si>
    <t xml:space="preserve">TP_304_SS_NPS_4_PIPE</t>
  </si>
  <si>
    <t xml:space="preserve">TP 304 SS (NPS 4 pipe)</t>
  </si>
  <si>
    <t xml:space="preserve">API 579 Table 9F.3M (SI) / 9F.3 (FPS): J_R = C_R (da)^nR. Typical values - actual values should be used when available. Values follow the Unit System drop-down on the Cover sheet.</t>
  </si>
  <si>
    <t xml:space="preserve">number of tests</t>
  </si>
  <si>
    <t xml:space="preserve">equivalent to minimum of three</t>
  </si>
  <si>
    <t xml:space="preserve">3 - 5</t>
  </si>
  <si>
    <t xml:space="preserve">Lowest value</t>
  </si>
  <si>
    <t xml:space="preserve">6 - 10</t>
  </si>
  <si>
    <t xml:space="preserve">Second lowest</t>
  </si>
  <si>
    <t xml:space="preserve">11 - 15</t>
  </si>
  <si>
    <t xml:space="preserve">Third lowest</t>
  </si>
  <si>
    <t xml:space="preserve">16 - 20</t>
  </si>
  <si>
    <t xml:space="preserve">Fourth lowest</t>
  </si>
  <si>
    <t xml:space="preserve">21 - 25</t>
  </si>
  <si>
    <t xml:space="preserve">Fifth lowest</t>
  </si>
  <si>
    <t xml:space="preserve">26 - 30</t>
  </si>
  <si>
    <t xml:space="preserve">Sixth lowest</t>
  </si>
  <si>
    <t xml:space="preserve">API 579 Table 9F.1; Note 2 scatter check applies to three results</t>
  </si>
  <si>
    <t xml:space="preserve">FLAW_OPTION</t>
  </si>
  <si>
    <t xml:space="preserve">PROJ_PLANE</t>
  </si>
  <si>
    <t xml:space="preserve">STRENGTH_SOURCE</t>
  </si>
  <si>
    <t xml:space="preserve">LRMAX_MODE</t>
  </si>
  <si>
    <t xml:space="preserve">CONSTRAINT</t>
  </si>
  <si>
    <t xml:space="preserve">DATA_STATUS</t>
  </si>
  <si>
    <t xml:space="preserve">YES_NO</t>
  </si>
  <si>
    <t xml:space="preserve">TOUGHNESS_METHOD</t>
  </si>
  <si>
    <t xml:space="preserve">SS_CONDITION</t>
  </si>
  <si>
    <t xml:space="preserve">LOWER_MEAN</t>
  </si>
  <si>
    <t xml:space="preserve">LOWER_MEDIAN</t>
  </si>
  <si>
    <t xml:space="preserve">TREF_MODE</t>
  </si>
  <si>
    <t xml:space="preserve">CURVE_MODE</t>
  </si>
  <si>
    <t xml:space="preserve">XI_CURVE</t>
  </si>
  <si>
    <t xml:space="preserve">T0_MODE</t>
  </si>
  <si>
    <t xml:space="preserve">SULFUR</t>
  </si>
  <si>
    <t xml:space="preserve">L_MODE</t>
  </si>
  <si>
    <t xml:space="preserve">US_LIMIT</t>
  </si>
  <si>
    <t xml:space="preserve">H2_SHIFT</t>
  </si>
  <si>
    <t xml:space="preserve">US_OPTION</t>
  </si>
  <si>
    <t xml:space="preserve">CRMO_ROUTE</t>
  </si>
  <si>
    <t xml:space="preserve">CRMO_VINTAGE</t>
  </si>
  <si>
    <t xml:space="preserve">R_BASIS</t>
  </si>
  <si>
    <t xml:space="preserve">WELD_EQ</t>
  </si>
  <si>
    <t xml:space="preserve">RE_MODE</t>
  </si>
  <si>
    <t xml:space="preserve">STRESS_MODE</t>
  </si>
  <si>
    <t xml:space="preserve">STRESS_DIST</t>
  </si>
  <si>
    <t xml:space="preserve">STRESS_INPUT</t>
  </si>
  <si>
    <t xml:space="preserve">STRESS_INPUT_KPSCL1</t>
  </si>
  <si>
    <t xml:space="preserve">STRESS_INPUT_KPSCL2</t>
  </si>
  <si>
    <t xml:space="preserve">RS_METHOD</t>
  </si>
  <si>
    <t xml:space="preserve">RS_METHOD_S</t>
  </si>
  <si>
    <t xml:space="preserve">YS_BASIS</t>
  </si>
  <si>
    <t xml:space="preserve">WELD_COND</t>
  </si>
  <si>
    <t xml:space="preserve">DIRECTION</t>
  </si>
  <si>
    <t xml:space="preserve">PT_CREDIT</t>
  </si>
  <si>
    <t xml:space="preserve">PROFILE</t>
  </si>
  <si>
    <t xml:space="preserve">WELD_TYPE</t>
  </si>
  <si>
    <t xml:space="preserve">JOINT</t>
  </si>
  <si>
    <t xml:space="preserve">MATERIAL_FILTER</t>
  </si>
  <si>
    <t xml:space="preserve">FLAW_BASIS</t>
  </si>
  <si>
    <t xml:space="preserve">XI_CAP</t>
  </si>
  <si>
    <t xml:space="preserve">PF</t>
  </si>
  <si>
    <t xml:space="preserve">LIFE_MARGIN</t>
  </si>
  <si>
    <t xml:space="preserve">INSP_FRACTION</t>
  </si>
  <si>
    <t xml:space="preserve">CW_STOP</t>
  </si>
  <si>
    <t xml:space="preserve">SPEC_TEXT</t>
  </si>
  <si>
    <t xml:space="preserve">JR_SOURCE</t>
  </si>
  <si>
    <t xml:space="preserve">JR_IDS</t>
  </si>
  <si>
    <t xml:space="preserve">MATERIAL_IDS</t>
  </si>
  <si>
    <t xml:space="preserve">MAT_ALL</t>
  </si>
  <si>
    <t xml:space="preserve">MAT_CARBON_STEEL</t>
  </si>
  <si>
    <t xml:space="preserve">MAT_LOW_ALLOY_STEEL</t>
  </si>
  <si>
    <t xml:space="preserve">MAT_AUSTENITIC_SS</t>
  </si>
  <si>
    <t xml:space="preserve">MAT_REFERENCE</t>
  </si>
  <si>
    <t xml:space="preserve">XI_CAP_SI</t>
  </si>
  <si>
    <t xml:space="preserve">XI_CAP_FPS</t>
  </si>
  <si>
    <t xml:space="preserve">UNIT_SYSTEM</t>
  </si>
  <si>
    <t xml:space="preserve">GROWTH_IDS</t>
  </si>
  <si>
    <t xml:space="preserve">OPTION_1</t>
  </si>
  <si>
    <t xml:space="preserve">SIGMA1</t>
  </si>
  <si>
    <t xml:space="preserve">DIRECT</t>
  </si>
  <si>
    <t xml:space="preserve">POST_1990</t>
  </si>
  <si>
    <t xml:space="preserve">MEMBRANE_BENDING</t>
  </si>
  <si>
    <t xml:space="preserve">Membrane + Bending (Pm, Pb, Sm, Sb)</t>
  </si>
  <si>
    <t xml:space="preserve">OPTION_2</t>
  </si>
  <si>
    <t xml:space="preserve">SIGMA2</t>
  </si>
  <si>
    <t xml:space="preserve">PROJECT_AT_TEMPERATURE</t>
  </si>
  <si>
    <t xml:space="preserve">plane_stress</t>
  </si>
  <si>
    <t xml:space="preserve">APPROVED</t>
  </si>
  <si>
    <t xml:space="preserve">MEAN</t>
  </si>
  <si>
    <t xml:space="preserve">MEDIAN</t>
  </si>
  <si>
    <t xml:space="preserve">KIR</t>
  </si>
  <si>
    <t xml:space="preserve">HIGH</t>
  </si>
  <si>
    <t xml:space="preserve">USER</t>
  </si>
  <si>
    <t xml:space="preserve">9F44</t>
  </si>
  <si>
    <t xml:space="preserve">H2_225CR1MO</t>
  </si>
  <si>
    <t xml:space="preserve">CR225_J_BASE</t>
  </si>
  <si>
    <t xml:space="preserve">1975_1990</t>
  </si>
  <si>
    <t xml:space="preserve">APPLIED_ONLY</t>
  </si>
  <si>
    <t xml:space="preserve">PARIS</t>
  </si>
  <si>
    <t xml:space="preserve">APPLY</t>
  </si>
  <si>
    <t xml:space="preserve">POLYNOMIAL_4TH</t>
  </si>
  <si>
    <t xml:space="preserve">Through-Wall Arbitrary Stress Distribution - KPSCL2 (9B.3.3) / RPSCL (9C.3.3)</t>
  </si>
  <si>
    <t xml:space="preserve">Point-by-point profile (sheet 5B_Stress_Profile)</t>
  </si>
  <si>
    <t xml:space="preserve">ACTUAL</t>
  </si>
  <si>
    <t xml:space="preserve">AS_WELDED</t>
  </si>
  <si>
    <t xml:space="preserve">PARALLEL</t>
  </si>
  <si>
    <t xml:space="preserve">TEE_MAIN_PLATE_PERPENDICULAR</t>
  </si>
  <si>
    <t xml:space="preserve">FILLET_WELD</t>
  </si>
  <si>
    <t xml:space="preserve">PARTIAL_PENETRATION</t>
  </si>
  <si>
    <t xml:space="preserve">ASSUMED_INITIAL_FLAW</t>
  </si>
  <si>
    <t xml:space="preserve">SA-285 Gr C</t>
  </si>
  <si>
    <t xml:space="preserve">CVN_9F130</t>
  </si>
  <si>
    <t xml:space="preserve">FPS</t>
  </si>
  <si>
    <t xml:space="preserve">TABLE_9_2</t>
  </si>
  <si>
    <t xml:space="preserve">OPTION_D_J_TEST</t>
  </si>
  <si>
    <t xml:space="preserve">H2_225CR1MOV</t>
  </si>
  <si>
    <t xml:space="preserve">CR225_XBAR_WELD</t>
  </si>
  <si>
    <t xml:space="preserve">FORCE_R_GE_0_5</t>
  </si>
  <si>
    <t xml:space="preserve">TEE_JOINT</t>
  </si>
  <si>
    <t xml:space="preserve">NOT_APPLICABLE</t>
  </si>
  <si>
    <t xml:space="preserve">SA-515 Gr 60</t>
  </si>
  <si>
    <t xml:space="preserve">PROJECT</t>
  </si>
  <si>
    <t xml:space="preserve">TABLE_9_2_CONSERVATIVE</t>
  </si>
  <si>
    <t xml:space="preserve">USER_PROFILE</t>
  </si>
  <si>
    <t xml:space="preserve">REPAIR_WELD</t>
  </si>
  <si>
    <t xml:space="preserve">SA-515 Gr 70</t>
  </si>
  <si>
    <t xml:space="preserve">NOT_WELDED</t>
  </si>
  <si>
    <t xml:space="preserve">SA-516 Gr 55</t>
  </si>
  <si>
    <t xml:space="preserve">SA-516 Gr 60</t>
  </si>
  <si>
    <t xml:space="preserve">SA-516 Gr 65</t>
  </si>
  <si>
    <t xml:space="preserve">SA-537 Cl 1</t>
  </si>
  <si>
    <t xml:space="preserve">SA-106 Gr B</t>
  </si>
  <si>
    <t xml:space="preserve">SA-106 Gr C</t>
  </si>
  <si>
    <t xml:space="preserve">SA-53 Gr B</t>
  </si>
  <si>
    <t xml:space="preserve">SA-333 Gr 6</t>
  </si>
  <si>
    <t xml:space="preserve">SA-234 WPB</t>
  </si>
  <si>
    <t xml:space="preserve">SA-350 LF2 Cl 1</t>
  </si>
  <si>
    <t xml:space="preserve">API 5L X52 PSL2</t>
  </si>
  <si>
    <t xml:space="preserve">API 5L X60 PSL2</t>
  </si>
  <si>
    <t xml:space="preserve">API 5L X65 PSL2</t>
  </si>
  <si>
    <t xml:space="preserve">API 5L X70 PSL2</t>
  </si>
  <si>
    <t xml:space="preserve">SA-387 Gr 11 Cl 2</t>
  </si>
  <si>
    <t xml:space="preserve">SA-387 Gr 22 Cl 2</t>
  </si>
  <si>
    <t xml:space="preserve">SA-335 P11</t>
  </si>
  <si>
    <t xml:space="preserve">SA-335 P22</t>
  </si>
  <si>
    <t xml:space="preserve">SA-182 F22 Cl 3</t>
  </si>
  <si>
    <t xml:space="preserve">SA-508 Gr 3 Cl 1</t>
  </si>
  <si>
    <t xml:space="preserve">SA-533 Type B Cl 1</t>
  </si>
  <si>
    <t xml:space="preserve">SA-240 304</t>
  </si>
  <si>
    <t xml:space="preserve">SA-240 304L</t>
  </si>
  <si>
    <t xml:space="preserve">SA-240 316</t>
  </si>
  <si>
    <t xml:space="preserve">SA-240 316L</t>
  </si>
  <si>
    <t xml:space="preserve">SA-240 321</t>
  </si>
  <si>
    <t xml:space="preserve">SA-240 347</t>
  </si>
  <si>
    <t xml:space="preserve">SA-312 TP304</t>
  </si>
  <si>
    <t xml:space="preserve">SA-312 TP316L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</si>
</sst>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00"/>
    <numFmt numFmtId="166" formatCode="@"/>
    <numFmt numFmtId="167" formatCode="0.0"/>
    <numFmt numFmtId="168" formatCode="#,##0"/>
    <numFmt numFmtId="169" formatCode="0.00"/>
    <numFmt numFmtId="170" formatCode="0"/>
    <numFmt numFmtId="171" formatCode="0.000E+00"/>
    <numFmt numFmtId="172" formatCode="0.000"/>
    <numFmt numFmtId="173" formatCode="0.00%"/>
    <numFmt numFmtId="174" formatCode="\+0;\-0;0"/>
    <numFmt numFmtId="175" formatCode="#,##0.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sz val="10"/>
      <color rgb="FF404040"/>
      <name val="Arial"/>
      <family val="0"/>
      <charset val="1"/>
    </font>
    <font>
      <sz val="9"/>
      <color rgb="FF404040"/>
      <name val="Arial"/>
      <family val="0"/>
      <charset val="1"/>
    </font>
    <font>
      <sz val="8"/>
      <color rgb="FF7F6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8"/>
      <color rgb="FF375623"/>
      <name val="Arial"/>
      <family val="0"/>
      <charset val="1"/>
    </font>
    <font>
      <b val="true"/>
      <sz val="11"/>
      <color rgb="FF548235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b val="true"/>
      <sz val="11"/>
      <color rgb="FF7030A0"/>
      <name val="Arial"/>
      <family val="0"/>
      <charset val="1"/>
    </font>
    <font>
      <b val="true"/>
      <sz val="11"/>
      <color rgb="FFBF8F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75B6"/>
        <bgColor rgb="FF0E7C7B"/>
      </patternFill>
    </fill>
    <fill>
      <patternFill patternType="solid">
        <fgColor rgb="FFD9E1F2"/>
        <bgColor rgb="FFE4DFEC"/>
      </patternFill>
    </fill>
    <fill>
      <patternFill patternType="solid">
        <fgColor rgb="FFFFF2CC"/>
        <bgColor rgb="FFFBE5D6"/>
      </patternFill>
    </fill>
    <fill>
      <patternFill patternType="solid">
        <fgColor rgb="FFE2EFDA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DDEBF7"/>
        <bgColor rgb="FFD9E1F2"/>
      </patternFill>
    </fill>
    <fill>
      <patternFill patternType="solid">
        <fgColor rgb="FF548235"/>
        <bgColor rgb="FF595959"/>
      </patternFill>
    </fill>
    <fill>
      <patternFill patternType="solid">
        <fgColor rgb="FFC55A11"/>
        <bgColor rgb="FF993300"/>
      </patternFill>
    </fill>
    <fill>
      <patternFill patternType="solid">
        <fgColor rgb="FFFBE5D6"/>
        <bgColor rgb="FFFFF2CC"/>
      </patternFill>
    </fill>
    <fill>
      <patternFill patternType="solid">
        <fgColor rgb="FF7030A0"/>
        <bgColor rgb="FF993366"/>
      </patternFill>
    </fill>
    <fill>
      <patternFill patternType="solid">
        <fgColor rgb="FFE4DFEC"/>
        <bgColor rgb="FFD9E1F2"/>
      </patternFill>
    </fill>
    <fill>
      <patternFill patternType="solid">
        <fgColor rgb="FFBF8F00"/>
        <bgColor rgb="FFC55A11"/>
      </patternFill>
    </fill>
    <fill>
      <patternFill patternType="solid">
        <fgColor rgb="FFC00000"/>
        <bgColor rgb="FF800000"/>
      </patternFill>
    </fill>
    <fill>
      <patternFill patternType="solid">
        <fgColor rgb="FFF8CBAD"/>
        <bgColor rgb="FFFFC7CE"/>
      </patternFill>
    </fill>
    <fill>
      <patternFill patternType="solid">
        <fgColor rgb="FF0E7C7B"/>
        <bgColor rgb="FF008080"/>
      </patternFill>
    </fill>
    <fill>
      <patternFill patternType="solid">
        <fgColor rgb="FF595959"/>
        <bgColor rgb="FF44546A"/>
      </patternFill>
    </fill>
    <fill>
      <patternFill patternType="solid">
        <fgColor rgb="FFEDEDED"/>
        <bgColor rgb="FFF2F2F2"/>
      </patternFill>
    </fill>
    <fill>
      <patternFill patternType="solid">
        <fgColor rgb="FF44546A"/>
        <bgColor rgb="FF595959"/>
      </patternFill>
    </fill>
    <fill>
      <patternFill patternType="solid">
        <fgColor rgb="FFA6A6A6"/>
        <bgColor rgb="FFBFBFBF"/>
      </patternFill>
    </fill>
    <fill>
      <patternFill patternType="solid">
        <fgColor rgb="FF808080"/>
        <bgColor rgb="FF548235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2E75B6"/>
      </bottom>
      <diagonal/>
    </border>
    <border diagonalUp="false" diagonalDown="false">
      <left/>
      <right/>
      <top/>
      <bottom style="medium">
        <color rgb="FF548235"/>
      </bottom>
      <diagonal/>
    </border>
    <border diagonalUp="false" diagonalDown="false">
      <left/>
      <right/>
      <top/>
      <bottom style="medium">
        <color rgb="FFC55A11"/>
      </bottom>
      <diagonal/>
    </border>
    <border diagonalUp="false" diagonalDown="false">
      <left/>
      <right/>
      <top/>
      <bottom style="medium">
        <color rgb="FF7030A0"/>
      </bottom>
      <diagonal/>
    </border>
    <border diagonalUp="false" diagonalDown="false">
      <left/>
      <right/>
      <top/>
      <bottom style="medium">
        <color rgb="FFBF8F00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/>
      <right/>
      <top/>
      <bottom style="medium">
        <color rgb="FF59595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5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6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7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1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8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6" borderId="9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8" fillId="1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9" borderId="1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3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3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3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4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4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4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4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2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33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  <dxf>
      <font>
        <color rgb="FFA6A6A6"/>
      </font>
      <fill>
        <patternFill>
          <bgColor rgb="FFEDEDED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7F6000"/>
      <rgbColor rgb="FF800080"/>
      <rgbColor rgb="FF0E7C7B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BE5D6"/>
      <rgbColor rgb="FFE4DFEC"/>
      <rgbColor rgb="FFFFC7CE"/>
      <rgbColor rgb="FFEDEDED"/>
      <rgbColor rgb="FFF8CBAD"/>
      <rgbColor rgb="FF2E75B6"/>
      <rgbColor rgb="FF33CCCC"/>
      <rgbColor rgb="FF99CC00"/>
      <rgbColor rgb="FFFFCC00"/>
      <rgbColor rgb="FFBF8F00"/>
      <rgbColor rgb="FFC55A11"/>
      <rgbColor rgb="FF595959"/>
      <rgbColor rgb="FFA6A6A6"/>
      <rgbColor rgb="FF1F3864"/>
      <rgbColor rgb="FF548235"/>
      <rgbColor rgb="FF003300"/>
      <rgbColor rgb="FF375623"/>
      <rgbColor rgb="FF993300"/>
      <rgbColor rgb="FF993366"/>
      <rgbColor rgb="FF44546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KPSCL_Variable_Input.xlsx" TargetMode="External"/><Relationship Id="rId2" Type="http://schemas.openxmlformats.org/officeDocument/2006/relationships/hyperlink" Target="KPSCL_Variable_Input.xlsx" TargetMode="External"/><Relationship Id="rId3" Type="http://schemas.openxmlformats.org/officeDocument/2006/relationships/hyperlink" Target="KPSCL_Variable_Input.xlsx" TargetMode="External"/><Relationship Id="rId4" Type="http://schemas.openxmlformats.org/officeDocument/2006/relationships/hyperlink" Target="KPSCL_Variable_Input.xlsx" TargetMode="External"/><Relationship Id="rId5" Type="http://schemas.openxmlformats.org/officeDocument/2006/relationships/hyperlink" Target="KPSCL_Variable_Input.xlsx" TargetMode="External"/><Relationship Id="rId6" Type="http://schemas.openxmlformats.org/officeDocument/2006/relationships/hyperlink" Target="KPSCL_Variable_Input.xlsx" TargetMode="External"/><Relationship Id="rId7" Type="http://schemas.openxmlformats.org/officeDocument/2006/relationships/hyperlink" Target="KPSCL_Variable_Input.xlsx" TargetMode="External"/><Relationship Id="rId8" Type="http://schemas.openxmlformats.org/officeDocument/2006/relationships/hyperlink" Target="KPSCL_Variable_Input.xlsx" TargetMode="External"/><Relationship Id="rId9" Type="http://schemas.openxmlformats.org/officeDocument/2006/relationships/hyperlink" Target="KPSCL_Variable_Input.xlsx" TargetMode="External"/><Relationship Id="rId10" Type="http://schemas.openxmlformats.org/officeDocument/2006/relationships/hyperlink" Target="KPSCL_Variable_Input.xlsx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D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2" t="str">
        <f aca="false">"KPSCL1 (9B.3.2) / KPSCL2 (9B.3.3) / RPSCL (9C.3.2)  -  plate with infinite-length surface crack  -  VARIABLE AMPLITUDE LOADING  -  "&amp;IF(UNIT_SYSTEM="SI","SI UNITS (mm, MPa, MPa√m, °C)","FPS / US CUSTOMARY UNITS (in, ksi, ksi√in, °F)")</f>
        <v>KPSCL1 (9B.3.2) / KPSCL2 (9B.3.3) / RPSCL (9C.3.2)  -  plate with infinite-length surface crack  -  VARIABLE AMPLITUDE LOADING  -  SI UNITS (mm, MPa, MPa√m, °C)</v>
      </c>
      <c r="B2" s="2"/>
      <c r="C2" s="2"/>
      <c r="D2" s="2"/>
    </row>
    <row r="4" customFormat="false" ht="19.5" hidden="false" customHeight="true" outlineLevel="0" collapsed="false">
      <c r="A4" s="3" t="s">
        <v>1</v>
      </c>
      <c r="B4" s="3"/>
      <c r="C4" s="3"/>
      <c r="D4" s="3"/>
    </row>
    <row r="5" customFormat="false" ht="25.5" hidden="false" customHeight="true" outlineLevel="0" collapsed="false">
      <c r="A5" s="4" t="s">
        <v>2</v>
      </c>
      <c r="B5" s="5" t="s">
        <v>3</v>
      </c>
      <c r="C5" s="6" t="str">
        <f aca="false">IF(UNIT_SYSTEM="SI","SI - length mm, stress MPa, K MPa√m, temperature °C, J kJ/m², da/dN mm/cycle","FPS - length in, stress ksi, K ksi√in, temperature °F, J in-lb/in², da/dN in/cycle")</f>
        <v>SI - length mm, stress MPa, K MPa√m, temperature °C, J kJ/m², da/dN mm/cycle</v>
      </c>
      <c r="D5" s="6"/>
    </row>
    <row r="6" customFormat="false" ht="27.75" hidden="false" customHeight="true" outlineLevel="0" collapsed="false">
      <c r="A6" s="7" t="s">
        <v>4</v>
      </c>
      <c r="B6" s="7"/>
      <c r="C6" s="7"/>
      <c r="D6" s="7"/>
    </row>
    <row r="8" customFormat="false" ht="19.5" hidden="false" customHeight="true" outlineLevel="0" collapsed="false">
      <c r="A8" s="3" t="s">
        <v>5</v>
      </c>
      <c r="B8" s="3"/>
      <c r="C8" s="3"/>
      <c r="D8" s="3"/>
    </row>
    <row r="9" customFormat="false" ht="15" hidden="false" customHeight="false" outlineLevel="0" collapsed="false">
      <c r="A9" s="8" t="s">
        <v>6</v>
      </c>
      <c r="B9" s="9" t="s">
        <v>7</v>
      </c>
      <c r="C9" s="9"/>
      <c r="D9" s="9"/>
    </row>
    <row r="10" customFormat="false" ht="15" hidden="false" customHeight="false" outlineLevel="0" collapsed="false">
      <c r="A10" s="8" t="s">
        <v>8</v>
      </c>
      <c r="B10" s="9" t="s">
        <v>9</v>
      </c>
      <c r="C10" s="9"/>
      <c r="D10" s="9"/>
    </row>
    <row r="11" customFormat="false" ht="15" hidden="false" customHeight="false" outlineLevel="0" collapsed="false">
      <c r="A11" s="8" t="s">
        <v>10</v>
      </c>
      <c r="B11" s="9" t="s">
        <v>11</v>
      </c>
      <c r="C11" s="9"/>
      <c r="D11" s="9"/>
    </row>
    <row r="12" customFormat="false" ht="15" hidden="false" customHeight="false" outlineLevel="0" collapsed="false">
      <c r="A12" s="8" t="s">
        <v>12</v>
      </c>
      <c r="B12" s="9"/>
      <c r="C12" s="9"/>
      <c r="D12" s="9"/>
    </row>
    <row r="13" customFormat="false" ht="15" hidden="false" customHeight="false" outlineLevel="0" collapsed="false">
      <c r="A13" s="8" t="s">
        <v>13</v>
      </c>
      <c r="B13" s="9"/>
      <c r="C13" s="9"/>
      <c r="D13" s="9"/>
    </row>
    <row r="14" customFormat="false" ht="15" hidden="false" customHeight="false" outlineLevel="0" collapsed="false">
      <c r="A14" s="8" t="s">
        <v>14</v>
      </c>
      <c r="B14" s="9"/>
      <c r="C14" s="9"/>
      <c r="D14" s="9"/>
    </row>
    <row r="15" customFormat="false" ht="15" hidden="false" customHeight="false" outlineLevel="0" collapsed="false">
      <c r="A15" s="8" t="s">
        <v>15</v>
      </c>
      <c r="B15" s="9" t="s">
        <v>16</v>
      </c>
      <c r="C15" s="9"/>
      <c r="D15" s="9"/>
    </row>
    <row r="16" customFormat="false" ht="15" hidden="false" customHeight="false" outlineLevel="0" collapsed="false">
      <c r="A16" s="8" t="s">
        <v>17</v>
      </c>
      <c r="B16" s="10" t="s">
        <v>18</v>
      </c>
    </row>
    <row r="17" customFormat="false" ht="15" hidden="false" customHeight="false" outlineLevel="0" collapsed="false">
      <c r="A17" s="8" t="s">
        <v>19</v>
      </c>
      <c r="B17" s="10" t="s">
        <v>20</v>
      </c>
    </row>
    <row r="19" customFormat="false" ht="19.5" hidden="false" customHeight="true" outlineLevel="0" collapsed="false">
      <c r="A19" s="3" t="s">
        <v>21</v>
      </c>
      <c r="B19" s="3"/>
      <c r="C19" s="3"/>
      <c r="D19" s="3"/>
    </row>
    <row r="20" customFormat="false" ht="15" hidden="false" customHeight="false" outlineLevel="0" collapsed="false">
      <c r="A20" s="11" t="s">
        <v>22</v>
      </c>
    </row>
    <row r="21" customFormat="false" ht="15" hidden="false" customHeight="false" outlineLevel="0" collapsed="false">
      <c r="A21" s="12" t="s">
        <v>23</v>
      </c>
    </row>
    <row r="22" customFormat="false" ht="15" hidden="false" customHeight="false" outlineLevel="0" collapsed="false">
      <c r="A22" s="13" t="s">
        <v>24</v>
      </c>
    </row>
    <row r="24" customFormat="false" ht="19.5" hidden="false" customHeight="true" outlineLevel="0" collapsed="false">
      <c r="A24" s="3" t="s">
        <v>25</v>
      </c>
      <c r="B24" s="3"/>
      <c r="C24" s="3"/>
      <c r="D24" s="3"/>
    </row>
    <row r="25" customFormat="false" ht="15" hidden="false" customHeight="false" outlineLevel="0" collapsed="false">
      <c r="A25" s="14" t="s">
        <v>26</v>
      </c>
      <c r="B25" s="14" t="s">
        <v>27</v>
      </c>
      <c r="C25" s="14"/>
      <c r="D25" s="14" t="s">
        <v>28</v>
      </c>
    </row>
    <row r="26" customFormat="false" ht="15" hidden="false" customHeight="false" outlineLevel="0" collapsed="false">
      <c r="A26" s="15" t="s">
        <v>29</v>
      </c>
      <c r="B26" s="16" t="s">
        <v>30</v>
      </c>
      <c r="C26" s="16"/>
      <c r="D26" s="17" t="s">
        <v>31</v>
      </c>
    </row>
    <row r="27" customFormat="false" ht="23.85" hidden="false" customHeight="false" outlineLevel="0" collapsed="false">
      <c r="A27" s="15" t="s">
        <v>32</v>
      </c>
      <c r="B27" s="16" t="s">
        <v>33</v>
      </c>
      <c r="C27" s="16"/>
      <c r="D27" s="17" t="s">
        <v>34</v>
      </c>
    </row>
    <row r="28" customFormat="false" ht="15" hidden="false" customHeight="false" outlineLevel="0" collapsed="false">
      <c r="A28" s="15" t="s">
        <v>35</v>
      </c>
      <c r="B28" s="16" t="s">
        <v>36</v>
      </c>
      <c r="C28" s="16"/>
      <c r="D28" s="17" t="s">
        <v>37</v>
      </c>
    </row>
    <row r="29" customFormat="false" ht="15" hidden="false" customHeight="false" outlineLevel="0" collapsed="false">
      <c r="A29" s="15" t="s">
        <v>38</v>
      </c>
      <c r="B29" s="16" t="s">
        <v>39</v>
      </c>
      <c r="C29" s="16"/>
      <c r="D29" s="17" t="s">
        <v>40</v>
      </c>
    </row>
    <row r="30" customFormat="false" ht="23.85" hidden="false" customHeight="false" outlineLevel="0" collapsed="false">
      <c r="A30" s="15" t="s">
        <v>41</v>
      </c>
      <c r="B30" s="16" t="s">
        <v>42</v>
      </c>
      <c r="C30" s="16"/>
      <c r="D30" s="17" t="s">
        <v>43</v>
      </c>
    </row>
    <row r="31" customFormat="false" ht="15" hidden="false" customHeight="false" outlineLevel="0" collapsed="false">
      <c r="A31" s="15" t="s">
        <v>44</v>
      </c>
      <c r="B31" s="16" t="s">
        <v>45</v>
      </c>
      <c r="C31" s="16"/>
      <c r="D31" s="17" t="s">
        <v>46</v>
      </c>
    </row>
    <row r="32" customFormat="false" ht="15" hidden="false" customHeight="false" outlineLevel="0" collapsed="false">
      <c r="A32" s="15" t="s">
        <v>47</v>
      </c>
      <c r="B32" s="16" t="s">
        <v>48</v>
      </c>
      <c r="C32" s="16"/>
      <c r="D32" s="17" t="s">
        <v>49</v>
      </c>
    </row>
    <row r="33" customFormat="false" ht="15" hidden="false" customHeight="false" outlineLevel="0" collapsed="false">
      <c r="A33" s="15" t="s">
        <v>50</v>
      </c>
      <c r="B33" s="16" t="s">
        <v>51</v>
      </c>
      <c r="C33" s="16"/>
      <c r="D33" s="17" t="s">
        <v>52</v>
      </c>
    </row>
    <row r="34" customFormat="false" ht="15" hidden="false" customHeight="false" outlineLevel="0" collapsed="false">
      <c r="A34" s="15" t="s">
        <v>53</v>
      </c>
      <c r="B34" s="16" t="s">
        <v>54</v>
      </c>
      <c r="C34" s="16"/>
      <c r="D34" s="17" t="s">
        <v>55</v>
      </c>
    </row>
    <row r="35" customFormat="false" ht="23.85" hidden="false" customHeight="false" outlineLevel="0" collapsed="false">
      <c r="A35" s="15" t="s">
        <v>56</v>
      </c>
      <c r="B35" s="16" t="s">
        <v>57</v>
      </c>
      <c r="C35" s="16"/>
      <c r="D35" s="17" t="s">
        <v>58</v>
      </c>
    </row>
    <row r="37" customFormat="false" ht="19.5" hidden="false" customHeight="true" outlineLevel="0" collapsed="false">
      <c r="A37" s="3" t="s">
        <v>59</v>
      </c>
      <c r="B37" s="3"/>
      <c r="C37" s="3"/>
      <c r="D37" s="3"/>
    </row>
    <row r="38" customFormat="false" ht="15" hidden="false" customHeight="false" outlineLevel="0" collapsed="false">
      <c r="A38" s="18" t="s">
        <v>60</v>
      </c>
      <c r="B38" s="18"/>
      <c r="C38" s="18"/>
      <c r="D38" s="18"/>
    </row>
    <row r="39" customFormat="false" ht="15" hidden="false" customHeight="false" outlineLevel="0" collapsed="false">
      <c r="A39" s="18" t="s">
        <v>61</v>
      </c>
      <c r="B39" s="18"/>
      <c r="C39" s="18"/>
      <c r="D39" s="18"/>
    </row>
    <row r="40" customFormat="false" ht="15" hidden="false" customHeight="false" outlineLevel="0" collapsed="false">
      <c r="A40" s="18" t="s">
        <v>62</v>
      </c>
      <c r="B40" s="18"/>
      <c r="C40" s="18"/>
      <c r="D40" s="18"/>
    </row>
    <row r="41" customFormat="false" ht="15" hidden="false" customHeight="false" outlineLevel="0" collapsed="false">
      <c r="A41" s="18" t="s">
        <v>63</v>
      </c>
      <c r="B41" s="18"/>
      <c r="C41" s="18"/>
      <c r="D41" s="18"/>
    </row>
    <row r="42" customFormat="false" ht="15" hidden="false" customHeight="false" outlineLevel="0" collapsed="false">
      <c r="A42" s="18" t="s">
        <v>64</v>
      </c>
      <c r="B42" s="18"/>
      <c r="C42" s="18"/>
      <c r="D42" s="18"/>
    </row>
  </sheetData>
  <mergeCells count="21">
    <mergeCell ref="A1:D1"/>
    <mergeCell ref="A2:D2"/>
    <mergeCell ref="A4:D4"/>
    <mergeCell ref="C5:D5"/>
    <mergeCell ref="A6:D6"/>
    <mergeCell ref="A8:D8"/>
    <mergeCell ref="B9:D9"/>
    <mergeCell ref="B10:D10"/>
    <mergeCell ref="B11:D11"/>
    <mergeCell ref="B12:D12"/>
    <mergeCell ref="B13:D13"/>
    <mergeCell ref="B14:D14"/>
    <mergeCell ref="B15:D15"/>
    <mergeCell ref="A19:D19"/>
    <mergeCell ref="A24:D24"/>
    <mergeCell ref="A37:D37"/>
    <mergeCell ref="A38:D38"/>
    <mergeCell ref="A39:D39"/>
    <mergeCell ref="A40:D40"/>
    <mergeCell ref="A41:D41"/>
    <mergeCell ref="A42:D42"/>
  </mergeCells>
  <dataValidations count="1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L_UNIT_SYSTEM</formula1>
      <formula2>0</formula2>
    </dataValidation>
  </dataValidations>
  <hyperlinks>
    <hyperlink ref="A26" r:id="rId1" location="'1_Geometry_Flaw'!A1" display="1_Geometry_Flaw"/>
    <hyperlink ref="A27" r:id="rId2" location="'2_Material'!A1" display="2_Material"/>
    <hyperlink ref="A28" r:id="rId3" location="'3_Toughness'!A1" display="3_Toughness"/>
    <hyperlink ref="A29" r:id="rId4" location="'4_Crack_Growth'!A1" display="4_Crack_Growth"/>
    <hyperlink ref="A30" r:id="rId5" location="'5_Loads'!A1" display="5_Loads"/>
    <hyperlink ref="A31" r:id="rId6" location="'5B_Stress_Profile'!A1" display="5B_Stress_Profile"/>
    <hyperlink ref="A32" r:id="rId7" location="'6_Residual_Stress'!A1" display="6_Residual_Stress"/>
    <hyperlink ref="A33" r:id="rId8" location="'7_Load_History'!A1" display="7_Load_History"/>
    <hyperlink ref="A34" r:id="rId9" location="'8_Controls'!A1" display="8_Controls"/>
    <hyperlink ref="A35" r:id="rId10" location="'9_Level3'!A1" display="9_Level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9" t="str">
        <f aca="false">"GEOMETRY FLAW  -  KPSCL1 / KPSCL2 / RPSCL  ("&amp;UNIT_SYSTEM&amp;" UNITS)"</f>
        <v>GEOMETRY FLAW  -  KPSCL1 / KPSCL2 / RPSCL  (SI UNITS)</v>
      </c>
      <c r="B1" s="19"/>
      <c r="C1" s="19"/>
      <c r="D1" s="19"/>
      <c r="E1" s="19"/>
    </row>
    <row r="2" customFormat="false" ht="15" hidden="false" customHeight="false" outlineLevel="0" collapsed="false">
      <c r="A2" s="20" t="s">
        <v>65</v>
      </c>
      <c r="B2" s="20"/>
      <c r="C2" s="20"/>
      <c r="D2" s="20"/>
      <c r="E2" s="20"/>
    </row>
    <row r="3" customFormat="false" ht="15" hidden="false" customHeight="false" outlineLevel="0" collapsed="false">
      <c r="A3" s="21" t="s">
        <v>66</v>
      </c>
      <c r="B3" s="21" t="s">
        <v>67</v>
      </c>
      <c r="C3" s="21" t="s">
        <v>68</v>
      </c>
      <c r="D3" s="21" t="s">
        <v>69</v>
      </c>
      <c r="E3" s="21" t="s">
        <v>70</v>
      </c>
    </row>
    <row r="4" customFormat="false" ht="19.5" hidden="false" customHeight="true" outlineLevel="0" collapsed="false">
      <c r="A4" s="22" t="s">
        <v>71</v>
      </c>
      <c r="B4" s="22"/>
      <c r="C4" s="22"/>
      <c r="D4" s="22"/>
      <c r="E4" s="22"/>
    </row>
    <row r="5" customFormat="false" ht="15" hidden="false" customHeight="false" outlineLevel="0" collapsed="false">
      <c r="A5" s="16" t="s">
        <v>72</v>
      </c>
      <c r="B5" s="23" t="n">
        <f aca="false">IF(UNIT_SYSTEM="SI",20,0.78740157480315)</f>
        <v>20</v>
      </c>
      <c r="C5" s="24" t="str">
        <f aca="false">IF(UNIT_SYSTEM="SI","mm","in")</f>
        <v>mm</v>
      </c>
      <c r="D5" s="25"/>
      <c r="E5" s="26" t="s">
        <v>73</v>
      </c>
    </row>
    <row r="6" customFormat="false" ht="19.5" hidden="false" customHeight="true" outlineLevel="0" collapsed="false">
      <c r="A6" s="22" t="s">
        <v>74</v>
      </c>
      <c r="B6" s="22"/>
      <c r="C6" s="22"/>
      <c r="D6" s="22"/>
      <c r="E6" s="22"/>
    </row>
    <row r="7" customFormat="false" ht="15" hidden="false" customHeight="false" outlineLevel="0" collapsed="false">
      <c r="A7" s="16" t="s">
        <v>75</v>
      </c>
      <c r="B7" s="23" t="n">
        <f aca="false">IF(UNIT_SYSTEM="SI",3,0.118110236220472)</f>
        <v>3</v>
      </c>
      <c r="C7" s="24" t="str">
        <f aca="false">IF(UNIT_SYSTEM="SI","mm","in")</f>
        <v>mm</v>
      </c>
      <c r="D7" s="25" t="s">
        <v>76</v>
      </c>
      <c r="E7" s="26" t="s">
        <v>73</v>
      </c>
    </row>
    <row r="8" customFormat="false" ht="15" hidden="false" customHeight="false" outlineLevel="0" collapsed="false">
      <c r="A8" s="16" t="s">
        <v>77</v>
      </c>
      <c r="B8" s="27"/>
      <c r="C8" s="24" t="str">
        <f aca="false">IF(UNIT_SYSTEM="SI","mm","in")</f>
        <v>mm</v>
      </c>
      <c r="D8" s="25" t="s">
        <v>78</v>
      </c>
      <c r="E8" s="26" t="s">
        <v>73</v>
      </c>
    </row>
    <row r="9" customFormat="false" ht="19.5" hidden="false" customHeight="true" outlineLevel="0" collapsed="false">
      <c r="A9" s="22" t="s">
        <v>79</v>
      </c>
      <c r="B9" s="22"/>
      <c r="C9" s="22"/>
      <c r="D9" s="22"/>
      <c r="E9" s="22"/>
    </row>
    <row r="10" customFormat="false" ht="15" hidden="false" customHeight="false" outlineLevel="0" collapsed="false">
      <c r="A10" s="28" t="s">
        <v>80</v>
      </c>
      <c r="B10" s="29" t="n">
        <f aca="false">in_a_m</f>
        <v>3</v>
      </c>
      <c r="C10" s="24" t="str">
        <f aca="false">IF(UNIT_SYSTEM="SI","mm","in")</f>
        <v>mm</v>
      </c>
      <c r="D10" s="25" t="s">
        <v>81</v>
      </c>
      <c r="E10" s="30" t="s">
        <v>82</v>
      </c>
    </row>
    <row r="11" customFormat="false" ht="15" hidden="false" customHeight="false" outlineLevel="0" collapsed="false">
      <c r="A11" s="28" t="s">
        <v>83</v>
      </c>
      <c r="B11" s="29" t="n">
        <f aca="false">in_a_m/in_t</f>
        <v>0.15</v>
      </c>
      <c r="C11" s="24" t="s">
        <v>84</v>
      </c>
      <c r="D11" s="25" t="s">
        <v>85</v>
      </c>
      <c r="E11" s="30" t="s">
        <v>82</v>
      </c>
    </row>
    <row r="12" customFormat="false" ht="15" hidden="false" customHeight="false" outlineLevel="0" collapsed="false">
      <c r="A12" s="28" t="s">
        <v>86</v>
      </c>
      <c r="B12" s="31" t="str">
        <f aca="false">IF(AND(calc_at&gt;0,calc_at&lt;=0.8),"OK","OUT OF RANGE")</f>
        <v>OK</v>
      </c>
      <c r="C12" s="24"/>
      <c r="D12" s="25"/>
      <c r="E12" s="30" t="s">
        <v>82</v>
      </c>
    </row>
    <row r="13" customFormat="false" ht="15" hidden="false" customHeight="false" outlineLevel="0" collapsed="false">
      <c r="A13" s="28" t="s">
        <v>87</v>
      </c>
      <c r="B13" s="29" t="n">
        <f aca="false">1.1202+6.0061*calc_at^2-1.3891*calc_at^4+7.926*calc_at^6+31.914*calc_at^8</f>
        <v>1.25473247942789</v>
      </c>
      <c r="C13" s="24" t="s">
        <v>84</v>
      </c>
      <c r="D13" s="25" t="s">
        <v>88</v>
      </c>
      <c r="E13" s="30" t="s">
        <v>82</v>
      </c>
    </row>
    <row r="14" customFormat="false" ht="15" hidden="false" customHeight="false" outlineLevel="0" collapsed="false">
      <c r="A14" s="28" t="s">
        <v>89</v>
      </c>
      <c r="B14" s="29" t="n">
        <f aca="false">0.68109+2.3137*calc_at^2-0.71895*calc_at^4+3.114*calc_at^6+10.702*calc_at^8</f>
        <v>0.732822494774297</v>
      </c>
      <c r="C14" s="24" t="s">
        <v>84</v>
      </c>
      <c r="D14" s="25" t="s">
        <v>88</v>
      </c>
      <c r="E14" s="30" t="s">
        <v>82</v>
      </c>
    </row>
    <row r="15" customFormat="false" ht="27.75" hidden="false" customHeight="true" outlineLevel="0" collapsed="false">
      <c r="A15" s="32" t="s">
        <v>90</v>
      </c>
      <c r="B15" s="32"/>
      <c r="C15" s="32"/>
      <c r="D15" s="32"/>
      <c r="E15" s="32"/>
    </row>
  </sheetData>
  <mergeCells count="6">
    <mergeCell ref="A1:E1"/>
    <mergeCell ref="A2:E2"/>
    <mergeCell ref="A4:E4"/>
    <mergeCell ref="A6:E6"/>
    <mergeCell ref="A9:E9"/>
    <mergeCell ref="A15:E15"/>
  </mergeCells>
  <conditionalFormatting sqref="B12">
    <cfRule type="cellIs" priority="2" operator="equal" aboveAverage="0" equalAverage="0" bottom="0" percent="0" rank="0" text="" dxfId="0">
      <formula>"OK"</formula>
    </cfRule>
    <cfRule type="cellIs" priority="3" operator="notEqual" aboveAverage="0" equalAverage="0" bottom="0" percent="0" rank="0" text="" dxfId="1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33" t="str">
        <f aca="false">"MATERIAL  -  KPSCL1 / KPSCL2 / RPSCL  ("&amp;UNIT_SYSTEM&amp;" UNITS)"</f>
        <v>MATERIAL  -  KPSCL1 / KPSCL2 / RPSCL  (SI UNITS)</v>
      </c>
      <c r="B1" s="33"/>
      <c r="C1" s="33"/>
      <c r="D1" s="33"/>
      <c r="E1" s="33"/>
    </row>
    <row r="2" customFormat="false" ht="15" hidden="false" customHeight="false" outlineLevel="0" collapsed="false">
      <c r="A2" s="20" t="s">
        <v>91</v>
      </c>
      <c r="B2" s="20"/>
      <c r="C2" s="20"/>
      <c r="D2" s="20"/>
      <c r="E2" s="20"/>
    </row>
    <row r="3" customFormat="false" ht="15" hidden="false" customHeight="false" outlineLevel="0" collapsed="false">
      <c r="A3" s="34" t="s">
        <v>66</v>
      </c>
      <c r="B3" s="34" t="s">
        <v>67</v>
      </c>
      <c r="C3" s="34" t="s">
        <v>68</v>
      </c>
      <c r="D3" s="34" t="s">
        <v>69</v>
      </c>
      <c r="E3" s="34" t="s">
        <v>70</v>
      </c>
    </row>
    <row r="4" customFormat="false" ht="19.5" hidden="false" customHeight="true" outlineLevel="0" collapsed="false">
      <c r="A4" s="35" t="s">
        <v>92</v>
      </c>
      <c r="B4" s="35"/>
      <c r="C4" s="35"/>
      <c r="D4" s="35"/>
      <c r="E4" s="35"/>
    </row>
    <row r="5" customFormat="false" ht="15" hidden="false" customHeight="false" outlineLevel="0" collapsed="false">
      <c r="A5" s="16" t="s">
        <v>93</v>
      </c>
      <c r="B5" s="27" t="s">
        <v>94</v>
      </c>
      <c r="C5" s="24" t="s">
        <v>84</v>
      </c>
      <c r="D5" s="25" t="s">
        <v>95</v>
      </c>
      <c r="E5" s="26" t="s">
        <v>73</v>
      </c>
    </row>
    <row r="6" customFormat="false" ht="15" hidden="false" customHeight="false" outlineLevel="0" collapsed="false">
      <c r="A6" s="16" t="s">
        <v>96</v>
      </c>
      <c r="B6" s="27" t="s">
        <v>97</v>
      </c>
      <c r="C6" s="24" t="s">
        <v>84</v>
      </c>
      <c r="D6" s="25" t="s">
        <v>98</v>
      </c>
      <c r="E6" s="26" t="s">
        <v>73</v>
      </c>
    </row>
    <row r="7" customFormat="false" ht="15" hidden="false" customHeight="false" outlineLevel="0" collapsed="false">
      <c r="A7" s="28" t="s">
        <v>99</v>
      </c>
      <c r="B7" s="31" t="str">
        <f aca="true">IF(in_material_filter="ALL","OK",IF(ISNUMBER(MATCH(in_material_id,INDIRECT("L_MAT_"&amp;in_material_filter),0)),"OK","NOT IN CLASS - reselect ID"))</f>
        <v>OK</v>
      </c>
      <c r="C7" s="24"/>
      <c r="D7" s="25" t="s">
        <v>100</v>
      </c>
      <c r="E7" s="30" t="s">
        <v>82</v>
      </c>
    </row>
    <row r="8" customFormat="false" ht="15" hidden="false" customHeight="false" outlineLevel="0" collapsed="false">
      <c r="A8" s="28" t="s">
        <v>101</v>
      </c>
      <c r="B8" s="31" t="str">
        <f aca="false">IFERROR(INDEX(DB_Materials!$B:$B,MATCH(in_material_id,DB_Materials!$A:$A,0)),"")</f>
        <v>REFERENCE</v>
      </c>
      <c r="C8" s="24"/>
      <c r="D8" s="25"/>
      <c r="E8" s="30" t="s">
        <v>82</v>
      </c>
    </row>
    <row r="9" customFormat="false" ht="15" hidden="false" customHeight="false" outlineLevel="0" collapsed="false">
      <c r="A9" s="28" t="s">
        <v>102</v>
      </c>
      <c r="B9" s="31" t="str">
        <f aca="false">IFERROR(INDEX(DB_Materials!$C:$C,MATCH(in_material_id,DB_Materials!$A:$A,0)),"")</f>
        <v>350 MPa yield</v>
      </c>
      <c r="C9" s="24"/>
      <c r="D9" s="25"/>
      <c r="E9" s="30" t="s">
        <v>82</v>
      </c>
    </row>
    <row r="10" customFormat="false" ht="15" hidden="false" customHeight="false" outlineLevel="0" collapsed="false">
      <c r="A10" s="28" t="s">
        <v>103</v>
      </c>
      <c r="B10" s="31" t="str">
        <f aca="false">IFERROR(INDEX(DB_Materials!$D:$D,MATCH(in_material_id,DB_Materials!$A:$A,0)),"")</f>
        <v>Generic</v>
      </c>
      <c r="C10" s="24"/>
      <c r="D10" s="25"/>
      <c r="E10" s="30" t="s">
        <v>82</v>
      </c>
    </row>
    <row r="11" customFormat="false" ht="15" hidden="false" customHeight="false" outlineLevel="0" collapsed="false">
      <c r="A11" s="28" t="s">
        <v>104</v>
      </c>
      <c r="B11" s="31" t="str">
        <f aca="false">IFERROR(INDEX(DB_Materials!$E:$E,MATCH(in_material_id,DB_Materials!$A:$A,0)),"")</f>
        <v>-</v>
      </c>
      <c r="C11" s="24"/>
      <c r="D11" s="25"/>
      <c r="E11" s="30" t="s">
        <v>82</v>
      </c>
    </row>
    <row r="12" customFormat="false" ht="15" hidden="false" customHeight="false" outlineLevel="0" collapsed="false">
      <c r="A12" s="28" t="s">
        <v>105</v>
      </c>
      <c r="B12" s="31" t="str">
        <f aca="false">IFERROR(INDEX(DB_Materials!$F:$F,MATCH(in_material_id,DB_Materials!$A:$A,0)),"")</f>
        <v>REFERENCE</v>
      </c>
      <c r="C12" s="24"/>
      <c r="D12" s="25" t="s">
        <v>106</v>
      </c>
      <c r="E12" s="30" t="s">
        <v>82</v>
      </c>
    </row>
    <row r="13" customFormat="false" ht="15" hidden="false" customHeight="false" outlineLevel="0" collapsed="false">
      <c r="A13" s="28" t="s">
        <v>107</v>
      </c>
      <c r="B13" s="36" t="n">
        <f aca="false">IFERROR(INDEX(DB_Materials!$G:$G,MATCH(in_material_id,DB_Materials!$A:$A,0)),"")</f>
        <v>350</v>
      </c>
      <c r="C13" s="24" t="str">
        <f aca="false">IF(UNIT_SYSTEM="SI","MPa","ksi")</f>
        <v>MPa</v>
      </c>
      <c r="D13" s="25" t="s">
        <v>108</v>
      </c>
      <c r="E13" s="30" t="s">
        <v>82</v>
      </c>
    </row>
    <row r="14" customFormat="false" ht="15" hidden="false" customHeight="false" outlineLevel="0" collapsed="false">
      <c r="A14" s="28" t="s">
        <v>109</v>
      </c>
      <c r="B14" s="36" t="n">
        <f aca="false">IFERROR(INDEX(DB_Materials!$H:$H,MATCH(in_material_id,DB_Materials!$A:$A,0)),"")</f>
        <v>500</v>
      </c>
      <c r="C14" s="24" t="str">
        <f aca="false">IF(UNIT_SYSTEM="SI","MPa","ksi")</f>
        <v>MPa</v>
      </c>
      <c r="D14" s="25" t="s">
        <v>108</v>
      </c>
      <c r="E14" s="30" t="s">
        <v>82</v>
      </c>
    </row>
    <row r="15" customFormat="false" ht="15" hidden="false" customHeight="false" outlineLevel="0" collapsed="false">
      <c r="A15" s="28" t="s">
        <v>110</v>
      </c>
      <c r="B15" s="37" t="n">
        <f aca="false">IFERROR(INDEX(DB_Materials!$I:$I,MATCH(in_material_id,DB_Materials!$A:$A,0)),"")</f>
        <v>200000</v>
      </c>
      <c r="C15" s="24" t="str">
        <f aca="false">IF(UNIT_SYSTEM="SI","MPa","ksi")</f>
        <v>MPa</v>
      </c>
      <c r="D15" s="25" t="s">
        <v>111</v>
      </c>
      <c r="E15" s="30" t="s">
        <v>82</v>
      </c>
    </row>
    <row r="16" customFormat="false" ht="15" hidden="false" customHeight="false" outlineLevel="0" collapsed="false">
      <c r="A16" s="28" t="s">
        <v>112</v>
      </c>
      <c r="B16" s="31" t="str">
        <f aca="false">IFERROR(INDEX(DB_Materials!$J:$J,MATCH(in_material_id,DB_Materials!$A:$A,0)),"")</f>
        <v>N/A</v>
      </c>
      <c r="C16" s="24"/>
      <c r="D16" s="25" t="s">
        <v>113</v>
      </c>
      <c r="E16" s="30" t="s">
        <v>82</v>
      </c>
    </row>
    <row r="17" customFormat="false" ht="15" hidden="false" customHeight="false" outlineLevel="0" collapsed="false">
      <c r="A17" s="28" t="s">
        <v>114</v>
      </c>
      <c r="B17" s="31" t="str">
        <f aca="false">IFERROR(INDEX(DB_Materials!$K:$K,MATCH(in_material_id,DB_Materials!$A:$A,0)),"")</f>
        <v>FLOW_STRESS</v>
      </c>
      <c r="C17" s="24"/>
      <c r="D17" s="25" t="s">
        <v>115</v>
      </c>
      <c r="E17" s="30" t="s">
        <v>82</v>
      </c>
    </row>
    <row r="18" customFormat="false" ht="15" hidden="false" customHeight="false" outlineLevel="0" collapsed="false">
      <c r="A18" s="28" t="s">
        <v>116</v>
      </c>
      <c r="B18" s="31" t="str">
        <f aca="false">IFERROR(INDEX(DB_Materials!$L:$L,MATCH(in_material_id,DB_Materials!$A:$A,0)),"")</f>
        <v>PROJECT_MATERIAL_DATA</v>
      </c>
      <c r="C18" s="24"/>
      <c r="D18" s="25" t="s">
        <v>117</v>
      </c>
      <c r="E18" s="30" t="s">
        <v>82</v>
      </c>
    </row>
    <row r="19" customFormat="false" ht="15" hidden="false" customHeight="false" outlineLevel="0" collapsed="false">
      <c r="A19" s="28" t="s">
        <v>118</v>
      </c>
      <c r="B19" s="31" t="str">
        <f aca="false">IFERROR(INDEX(DB_Materials!$M:$M,MATCH(in_material_id,DB_Materials!$A:$A,0)),"")</f>
        <v>PROJECT_KMAT</v>
      </c>
      <c r="C19" s="24"/>
      <c r="D19" s="25" t="s">
        <v>119</v>
      </c>
      <c r="E19" s="30" t="s">
        <v>82</v>
      </c>
    </row>
    <row r="20" customFormat="false" ht="39.75" hidden="false" customHeight="true" outlineLevel="0" collapsed="false">
      <c r="A20" s="28" t="s">
        <v>120</v>
      </c>
      <c r="B20" s="38" t="str">
        <f aca="false">IFERROR(INDEX(DB_Materials!$S:$S,MATCH(in_material_id,DB_Materials!$A:$A,0)),"")</f>
        <v>ATLAS KPTC regression dataset (R1-R7 baseline). Not a material specification. FPS values are exact conversions.</v>
      </c>
      <c r="C20" s="24"/>
      <c r="D20" s="25"/>
      <c r="E20" s="30" t="s">
        <v>82</v>
      </c>
    </row>
    <row r="21" customFormat="false" ht="19.5" hidden="false" customHeight="true" outlineLevel="0" collapsed="false">
      <c r="A21" s="35" t="s">
        <v>121</v>
      </c>
      <c r="B21" s="35"/>
      <c r="C21" s="35"/>
      <c r="D21" s="35"/>
      <c r="E21" s="35"/>
    </row>
    <row r="22" customFormat="false" ht="15" hidden="false" customHeight="false" outlineLevel="0" collapsed="false">
      <c r="A22" s="16" t="s">
        <v>122</v>
      </c>
      <c r="B22" s="27" t="s">
        <v>123</v>
      </c>
      <c r="C22" s="24" t="s">
        <v>84</v>
      </c>
      <c r="D22" s="25" t="s">
        <v>124</v>
      </c>
      <c r="E22" s="26" t="s">
        <v>73</v>
      </c>
    </row>
    <row r="23" customFormat="false" ht="15" hidden="false" customHeight="false" outlineLevel="0" collapsed="false">
      <c r="A23" s="16" t="s">
        <v>125</v>
      </c>
      <c r="B23" s="27"/>
      <c r="C23" s="24" t="str">
        <f aca="false">IF(UNIT_SYSTEM="SI","MPa","ksi")</f>
        <v>MPa</v>
      </c>
      <c r="D23" s="25" t="s">
        <v>126</v>
      </c>
      <c r="E23" s="26" t="s">
        <v>73</v>
      </c>
    </row>
    <row r="24" customFormat="false" ht="15" hidden="false" customHeight="false" outlineLevel="0" collapsed="false">
      <c r="A24" s="16" t="s">
        <v>127</v>
      </c>
      <c r="B24" s="27"/>
      <c r="C24" s="24" t="str">
        <f aca="false">IF(UNIT_SYSTEM="SI","MPa","ksi")</f>
        <v>MPa</v>
      </c>
      <c r="D24" s="25" t="s">
        <v>126</v>
      </c>
      <c r="E24" s="26" t="s">
        <v>73</v>
      </c>
    </row>
    <row r="25" customFormat="false" ht="15" hidden="false" customHeight="false" outlineLevel="0" collapsed="false">
      <c r="A25" s="16" t="s">
        <v>128</v>
      </c>
      <c r="B25" s="27" t="s">
        <v>129</v>
      </c>
      <c r="C25" s="24" t="s">
        <v>84</v>
      </c>
      <c r="D25" s="25" t="s">
        <v>130</v>
      </c>
      <c r="E25" s="26" t="s">
        <v>73</v>
      </c>
    </row>
    <row r="26" customFormat="false" ht="15" hidden="false" customHeight="false" outlineLevel="0" collapsed="false">
      <c r="A26" s="28" t="s">
        <v>131</v>
      </c>
      <c r="B26" s="39" t="n">
        <f aca="false">IF(in_strength_source="PROJECT_AT_TEMPERATURE",in_sy_project,db_SMYS)</f>
        <v>350</v>
      </c>
      <c r="C26" s="24" t="str">
        <f aca="false">IF(UNIT_SYSTEM="SI","MPa","ksi")</f>
        <v>MPa</v>
      </c>
      <c r="D26" s="25"/>
      <c r="E26" s="30" t="s">
        <v>82</v>
      </c>
    </row>
    <row r="27" customFormat="false" ht="15" hidden="false" customHeight="false" outlineLevel="0" collapsed="false">
      <c r="A27" s="28" t="s">
        <v>132</v>
      </c>
      <c r="B27" s="39" t="n">
        <f aca="false">IF(in_strength_source="PROJECT_AT_TEMPERATURE",in_su_project,db_SMTS)</f>
        <v>500</v>
      </c>
      <c r="C27" s="24" t="str">
        <f aca="false">IF(UNIT_SYSTEM="SI","MPa","ksi")</f>
        <v>MPa</v>
      </c>
      <c r="D27" s="25"/>
      <c r="E27" s="30" t="s">
        <v>82</v>
      </c>
    </row>
    <row r="28" customFormat="false" ht="19.5" hidden="false" customHeight="true" outlineLevel="0" collapsed="false">
      <c r="A28" s="35" t="s">
        <v>133</v>
      </c>
      <c r="B28" s="35"/>
      <c r="C28" s="35"/>
      <c r="D28" s="35"/>
      <c r="E28" s="35"/>
    </row>
    <row r="29" customFormat="false" ht="15" hidden="false" customHeight="false" outlineLevel="0" collapsed="false">
      <c r="A29" s="16" t="s">
        <v>134</v>
      </c>
      <c r="B29" s="27" t="s">
        <v>135</v>
      </c>
      <c r="C29" s="24" t="s">
        <v>84</v>
      </c>
      <c r="D29" s="25"/>
      <c r="E29" s="26" t="s">
        <v>73</v>
      </c>
    </row>
    <row r="30" customFormat="false" ht="15" hidden="false" customHeight="false" outlineLevel="0" collapsed="false">
      <c r="A30" s="16" t="s">
        <v>136</v>
      </c>
      <c r="B30" s="27" t="s">
        <v>137</v>
      </c>
      <c r="C30" s="24" t="s">
        <v>84</v>
      </c>
      <c r="D30" s="25"/>
      <c r="E30" s="26" t="s">
        <v>73</v>
      </c>
    </row>
    <row r="31" customFormat="false" ht="15" hidden="false" customHeight="false" outlineLevel="0" collapsed="false">
      <c r="A31" s="28" t="s">
        <v>138</v>
      </c>
      <c r="B31" s="31" t="str">
        <f aca="false">IF(in_lrmax_mode="FROM_DATABASE",db_lrmax_category,in_lrmax_mode)</f>
        <v>FLOW_STRESS</v>
      </c>
      <c r="C31" s="24"/>
      <c r="D31" s="25"/>
      <c r="E31" s="30" t="s">
        <v>82</v>
      </c>
    </row>
    <row r="32" customFormat="false" ht="15" hidden="false" customHeight="false" outlineLevel="0" collapsed="false">
      <c r="A32" s="28" t="s">
        <v>139</v>
      </c>
      <c r="B32" s="29" t="n">
        <f aca="false">IFERROR(IF(IF(in_lrmax_mode="FROM_DATABASE",db_lrmax_category,in_lrmax_mode)="FLOW_STRESS",(calc_sy+calc_su)/(2*calc_sy),VALUE(INDEX(DB_Lr_max!$B:$B,MATCH(IF(in_lrmax_mode="FROM_DATABASE",db_lrmax_category,in_lrmax_mode),DB_Lr_max!$A:$A,0)))),"")</f>
        <v>1.21428571428571</v>
      </c>
      <c r="C32" s="24" t="s">
        <v>84</v>
      </c>
      <c r="D32" s="25" t="s">
        <v>140</v>
      </c>
      <c r="E32" s="30" t="s">
        <v>82</v>
      </c>
    </row>
    <row r="33" customFormat="false" ht="19.5" hidden="false" customHeight="true" outlineLevel="0" collapsed="false">
      <c r="A33" s="35" t="s">
        <v>141</v>
      </c>
      <c r="B33" s="35"/>
      <c r="C33" s="35"/>
      <c r="D33" s="35"/>
      <c r="E33" s="35"/>
    </row>
    <row r="34" customFormat="false" ht="15" hidden="false" customHeight="false" outlineLevel="0" collapsed="false">
      <c r="A34" s="16" t="s">
        <v>142</v>
      </c>
      <c r="B34" s="23" t="n">
        <f aca="false">IF(UNIT_SYSTEM="SI",25,77)</f>
        <v>25</v>
      </c>
      <c r="C34" s="24" t="str">
        <f aca="false">IF(UNIT_SYSTEM="SI","°C","°F")</f>
        <v>°C</v>
      </c>
      <c r="D34" s="25"/>
      <c r="E34" s="26" t="s">
        <v>73</v>
      </c>
    </row>
    <row r="35" customFormat="false" ht="15" hidden="false" customHeight="false" outlineLevel="0" collapsed="false">
      <c r="A35" s="16" t="s">
        <v>143</v>
      </c>
      <c r="B35" s="40" t="n">
        <f aca="false">IF(UNIT_SYSTEM="SI",200000,29007.5475460418)</f>
        <v>200000</v>
      </c>
      <c r="C35" s="24" t="str">
        <f aca="false">IF(UNIT_SYSTEM="SI","MPa","ksi")</f>
        <v>MPa</v>
      </c>
      <c r="D35" s="25" t="s">
        <v>144</v>
      </c>
      <c r="E35" s="26" t="s">
        <v>73</v>
      </c>
    </row>
    <row r="36" customFormat="false" ht="15" hidden="false" customHeight="false" outlineLevel="0" collapsed="false">
      <c r="A36" s="16" t="s">
        <v>145</v>
      </c>
      <c r="B36" s="23" t="n">
        <v>0.3</v>
      </c>
      <c r="C36" s="24" t="s">
        <v>84</v>
      </c>
      <c r="D36" s="25"/>
      <c r="E36" s="26" t="s">
        <v>73</v>
      </c>
    </row>
  </sheetData>
  <mergeCells count="6">
    <mergeCell ref="A1:E1"/>
    <mergeCell ref="A2:E2"/>
    <mergeCell ref="A4:E4"/>
    <mergeCell ref="A21:E21"/>
    <mergeCell ref="A28:E28"/>
    <mergeCell ref="A33:E33"/>
  </mergeCells>
  <dataValidations count="6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L_MATERIAL_FILTER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6" type="list">
      <formula1>INDIRECT("L_MAT_"&amp;in_material_filter)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2" type="list">
      <formula1>L_STRENGTH_SOURCE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5" type="list">
      <formula1>L_DATA_STATUS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9" type="list">
      <formula1>L_LRMAX_MODE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30" type="list">
      <formula1>L_CONSTRAINT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25.5" hidden="false" customHeight="true" outlineLevel="0" collapsed="false">
      <c r="A1" s="41" t="str">
        <f aca="false">"TOUGHNESS  -  KPSCL1 / KPSCL2 / RPSCL  ("&amp;UNIT_SYSTEM&amp;" UNITS)"</f>
        <v>TOUGHNESS  -  KPSCL1 / KPSCL2 / RPSCL  (SI UNITS)</v>
      </c>
      <c r="B1" s="41"/>
      <c r="C1" s="41"/>
      <c r="D1" s="41"/>
      <c r="E1" s="41"/>
    </row>
    <row r="2" customFormat="false" ht="15" hidden="false" customHeight="false" outlineLevel="0" collapsed="false">
      <c r="A2" s="20" t="s">
        <v>146</v>
      </c>
      <c r="B2" s="20"/>
      <c r="C2" s="20"/>
      <c r="D2" s="20"/>
      <c r="E2" s="20"/>
    </row>
    <row r="3" customFormat="false" ht="15" hidden="false" customHeight="false" outlineLevel="0" collapsed="false">
      <c r="A3" s="42" t="s">
        <v>66</v>
      </c>
      <c r="B3" s="42" t="s">
        <v>67</v>
      </c>
      <c r="C3" s="42" t="s">
        <v>68</v>
      </c>
      <c r="D3" s="42" t="s">
        <v>69</v>
      </c>
      <c r="E3" s="42" t="s">
        <v>70</v>
      </c>
      <c r="G3" s="42" t="s">
        <v>147</v>
      </c>
      <c r="H3" s="42" t="str">
        <f aca="false">IF(UNIT_SYSTEM="SI","K (MPa√m)","K (ksi√in)")</f>
        <v>K (MPa√m)</v>
      </c>
    </row>
    <row r="4" customFormat="false" ht="19.5" hidden="false" customHeight="true" outlineLevel="0" collapsed="false">
      <c r="A4" s="43" t="s">
        <v>148</v>
      </c>
      <c r="B4" s="43"/>
      <c r="C4" s="43"/>
      <c r="D4" s="43"/>
      <c r="E4" s="43"/>
      <c r="G4" s="44" t="n">
        <v>1</v>
      </c>
      <c r="H4" s="45"/>
    </row>
    <row r="5" customFormat="false" ht="15" hidden="false" customHeight="false" outlineLevel="0" collapsed="false">
      <c r="A5" s="16" t="s">
        <v>149</v>
      </c>
      <c r="B5" s="27" t="s">
        <v>150</v>
      </c>
      <c r="C5" s="24" t="s">
        <v>84</v>
      </c>
      <c r="D5" s="25"/>
      <c r="E5" s="26" t="s">
        <v>73</v>
      </c>
      <c r="G5" s="44" t="n">
        <v>2</v>
      </c>
      <c r="H5" s="45"/>
    </row>
    <row r="6" customFormat="false" ht="15" hidden="false" customHeight="false" outlineLevel="0" collapsed="false">
      <c r="A6" s="28" t="s">
        <v>151</v>
      </c>
      <c r="B6" s="31" t="str">
        <f aca="false">IFERROR(INDEX(DB_Toughness!$B:$B,MATCH(in_method,DB_Toughness!$A:$A,0)),"")</f>
        <v>9.3.5.2</v>
      </c>
      <c r="C6" s="24"/>
      <c r="D6" s="25"/>
      <c r="E6" s="30" t="s">
        <v>82</v>
      </c>
      <c r="G6" s="44" t="n">
        <v>3</v>
      </c>
      <c r="H6" s="45"/>
    </row>
    <row r="7" customFormat="false" ht="42" hidden="false" customHeight="true" outlineLevel="0" collapsed="false">
      <c r="A7" s="28" t="s">
        <v>152</v>
      </c>
      <c r="B7" s="38" t="str">
        <f aca="false">IFERROR(INDEX(DB_Toughness!$E:$E,MATCH(in_method,DB_Toughness!$A:$A,0)),"")</f>
        <v>Approved measured/project Kmat, or Kmat stored in the material record</v>
      </c>
      <c r="C7" s="24"/>
      <c r="D7" s="25"/>
      <c r="E7" s="30" t="s">
        <v>82</v>
      </c>
      <c r="G7" s="44" t="n">
        <v>4</v>
      </c>
      <c r="H7" s="45"/>
    </row>
    <row r="8" customFormat="false" ht="19.5" hidden="false" customHeight="true" outlineLevel="0" collapsed="false">
      <c r="A8" s="43" t="s">
        <v>153</v>
      </c>
      <c r="B8" s="43"/>
      <c r="C8" s="43"/>
      <c r="D8" s="43"/>
      <c r="E8" s="43"/>
      <c r="G8" s="44" t="n">
        <v>5</v>
      </c>
      <c r="H8" s="45"/>
    </row>
    <row r="9" customFormat="false" ht="15" hidden="false" customHeight="false" outlineLevel="0" collapsed="false">
      <c r="A9" s="16" t="s">
        <v>154</v>
      </c>
      <c r="B9" s="27"/>
      <c r="C9" s="24" t="str">
        <f aca="false">IF(UNIT_SYSTEM="SI","MPa√m","ksi√in")</f>
        <v>MPa√m</v>
      </c>
      <c r="D9" s="25" t="s">
        <v>155</v>
      </c>
      <c r="E9" s="26" t="s">
        <v>73</v>
      </c>
      <c r="G9" s="44" t="n">
        <v>6</v>
      </c>
      <c r="H9" s="45"/>
    </row>
    <row r="10" customFormat="false" ht="19.5" hidden="false" customHeight="true" outlineLevel="0" collapsed="false">
      <c r="A10" s="43" t="s">
        <v>156</v>
      </c>
      <c r="B10" s="43"/>
      <c r="C10" s="43"/>
      <c r="D10" s="43"/>
      <c r="E10" s="43"/>
      <c r="G10" s="44" t="n">
        <v>7</v>
      </c>
      <c r="H10" s="45"/>
    </row>
    <row r="11" customFormat="false" ht="15" hidden="false" customHeight="false" outlineLevel="0" collapsed="false">
      <c r="A11" s="28" t="s">
        <v>157</v>
      </c>
      <c r="B11" s="46" t="n">
        <f aca="false">COUNT($H$4:$H$33)</f>
        <v>0</v>
      </c>
      <c r="C11" s="24" t="s">
        <v>84</v>
      </c>
      <c r="D11" s="25" t="s">
        <v>158</v>
      </c>
      <c r="E11" s="30" t="s">
        <v>82</v>
      </c>
      <c r="G11" s="44" t="n">
        <v>8</v>
      </c>
      <c r="H11" s="45"/>
    </row>
    <row r="12" customFormat="false" ht="15" hidden="false" customHeight="false" outlineLevel="0" collapsed="false">
      <c r="A12" s="28" t="s">
        <v>159</v>
      </c>
      <c r="B12" s="39" t="str">
        <f aca="false">IF(COUNT($H$4:$H$33)&lt;3,"n &lt; 3",SMALL($H$4:$H$33,INT((COUNT($H$4:$H$33)-1)/5)+1))</f>
        <v>n &lt; 3</v>
      </c>
      <c r="C12" s="24" t="str">
        <f aca="false">IF(UNIT_SYSTEM="SI","MPa√m","ksi√in")</f>
        <v>MPa√m</v>
      </c>
      <c r="D12" s="25" t="s">
        <v>160</v>
      </c>
      <c r="E12" s="30" t="s">
        <v>82</v>
      </c>
      <c r="G12" s="44" t="n">
        <v>9</v>
      </c>
      <c r="H12" s="45"/>
    </row>
    <row r="13" customFormat="false" ht="15" hidden="false" customHeight="false" outlineLevel="0" collapsed="false">
      <c r="A13" s="28" t="s">
        <v>161</v>
      </c>
      <c r="B13" s="31" t="str">
        <f aca="false">IF(COUNT($H$4:$H$33)&lt;&gt;3,"-",IF(OR(MIN($H$4:$H$33)&lt;0.7*AVERAGE($H$4:$H$33),MAX($H$4:$H$33)&gt;1.4*AVERAGE($H$4:$H$33)),"EXCESSIVE","OK"))</f>
        <v>-</v>
      </c>
      <c r="C13" s="24"/>
      <c r="D13" s="25"/>
      <c r="E13" s="30" t="s">
        <v>82</v>
      </c>
      <c r="G13" s="44" t="n">
        <v>10</v>
      </c>
      <c r="H13" s="45"/>
    </row>
    <row r="14" customFormat="false" ht="19.5" hidden="false" customHeight="true" outlineLevel="0" collapsed="false">
      <c r="A14" s="43" t="s">
        <v>162</v>
      </c>
      <c r="B14" s="43"/>
      <c r="C14" s="43"/>
      <c r="D14" s="43"/>
      <c r="E14" s="43"/>
      <c r="G14" s="44" t="n">
        <v>11</v>
      </c>
      <c r="H14" s="45"/>
    </row>
    <row r="15" customFormat="false" ht="15" hidden="false" customHeight="false" outlineLevel="0" collapsed="false">
      <c r="A15" s="16" t="s">
        <v>163</v>
      </c>
      <c r="B15" s="27" t="s">
        <v>164</v>
      </c>
      <c r="C15" s="24" t="s">
        <v>84</v>
      </c>
      <c r="D15" s="25"/>
      <c r="E15" s="26" t="s">
        <v>73</v>
      </c>
      <c r="G15" s="44" t="n">
        <v>12</v>
      </c>
      <c r="H15" s="45"/>
    </row>
    <row r="16" customFormat="false" ht="15" hidden="false" customHeight="false" outlineLevel="0" collapsed="false">
      <c r="A16" s="16" t="s">
        <v>165</v>
      </c>
      <c r="B16" s="27" t="s">
        <v>166</v>
      </c>
      <c r="C16" s="24" t="s">
        <v>84</v>
      </c>
      <c r="D16" s="25" t="s">
        <v>167</v>
      </c>
      <c r="E16" s="26" t="s">
        <v>73</v>
      </c>
      <c r="G16" s="44" t="n">
        <v>13</v>
      </c>
      <c r="H16" s="45"/>
    </row>
    <row r="17" customFormat="false" ht="19.5" hidden="false" customHeight="true" outlineLevel="0" collapsed="false">
      <c r="A17" s="43" t="s">
        <v>168</v>
      </c>
      <c r="B17" s="43"/>
      <c r="C17" s="43"/>
      <c r="D17" s="43"/>
      <c r="E17" s="43"/>
      <c r="G17" s="44" t="n">
        <v>14</v>
      </c>
      <c r="H17" s="45"/>
    </row>
    <row r="18" customFormat="false" ht="15" hidden="false" customHeight="false" outlineLevel="0" collapsed="false">
      <c r="A18" s="16" t="s">
        <v>169</v>
      </c>
      <c r="B18" s="27" t="s">
        <v>170</v>
      </c>
      <c r="C18" s="24" t="s">
        <v>84</v>
      </c>
      <c r="D18" s="25"/>
      <c r="E18" s="26" t="s">
        <v>73</v>
      </c>
      <c r="G18" s="44" t="n">
        <v>15</v>
      </c>
      <c r="H18" s="45"/>
    </row>
    <row r="19" customFormat="false" ht="15" hidden="false" customHeight="false" outlineLevel="0" collapsed="false">
      <c r="A19" s="16" t="s">
        <v>171</v>
      </c>
      <c r="B19" s="23" t="n">
        <f aca="false">IF(UNIT_SYSTEM="SI",0,32)</f>
        <v>0</v>
      </c>
      <c r="C19" s="24" t="str">
        <f aca="false">IF(UNIT_SYSTEM="SI","°C","°F")</f>
        <v>°C</v>
      </c>
      <c r="D19" s="25"/>
      <c r="E19" s="26" t="s">
        <v>73</v>
      </c>
      <c r="G19" s="44" t="n">
        <v>16</v>
      </c>
      <c r="H19" s="45"/>
    </row>
    <row r="20" customFormat="false" ht="15" hidden="false" customHeight="false" outlineLevel="0" collapsed="false">
      <c r="A20" s="16" t="s">
        <v>172</v>
      </c>
      <c r="B20" s="27" t="s">
        <v>135</v>
      </c>
      <c r="C20" s="24" t="s">
        <v>84</v>
      </c>
      <c r="D20" s="25"/>
      <c r="E20" s="26" t="s">
        <v>73</v>
      </c>
      <c r="G20" s="44" t="n">
        <v>17</v>
      </c>
      <c r="H20" s="45"/>
    </row>
    <row r="21" customFormat="false" ht="15" hidden="false" customHeight="false" outlineLevel="0" collapsed="false">
      <c r="A21" s="16" t="s">
        <v>173</v>
      </c>
      <c r="B21" s="27" t="s">
        <v>174</v>
      </c>
      <c r="C21" s="24" t="s">
        <v>84</v>
      </c>
      <c r="D21" s="25" t="s">
        <v>175</v>
      </c>
      <c r="E21" s="26" t="s">
        <v>73</v>
      </c>
      <c r="G21" s="44" t="n">
        <v>18</v>
      </c>
      <c r="H21" s="45"/>
    </row>
    <row r="22" customFormat="false" ht="15" hidden="false" customHeight="false" outlineLevel="0" collapsed="false">
      <c r="A22" s="16" t="s">
        <v>176</v>
      </c>
      <c r="B22" s="40" t="n">
        <f aca="false">IF(UNIT_SYSTEM="SI",110,100)</f>
        <v>110</v>
      </c>
      <c r="C22" s="24" t="str">
        <f aca="false">IF(UNIT_SYSTEM="SI","MPa√m","ksi√in")</f>
        <v>MPa√m</v>
      </c>
      <c r="D22" s="25" t="s">
        <v>177</v>
      </c>
      <c r="E22" s="26" t="s">
        <v>73</v>
      </c>
      <c r="G22" s="44" t="n">
        <v>19</v>
      </c>
      <c r="H22" s="45"/>
    </row>
    <row r="23" customFormat="false" ht="15" hidden="false" customHeight="false" outlineLevel="0" collapsed="false">
      <c r="A23" s="28" t="s">
        <v>178</v>
      </c>
      <c r="B23" s="31" t="str">
        <f aca="false">IF(in_curve_mode="FROM_DATABASE",db_exemption_curve,in_curve_mode)</f>
        <v>N/A</v>
      </c>
      <c r="C23" s="24"/>
      <c r="D23" s="25" t="s">
        <v>179</v>
      </c>
      <c r="E23" s="30" t="s">
        <v>82</v>
      </c>
      <c r="G23" s="44" t="n">
        <v>20</v>
      </c>
      <c r="H23" s="45"/>
    </row>
    <row r="24" customFormat="false" ht="19.5" hidden="false" customHeight="true" outlineLevel="0" collapsed="false">
      <c r="A24" s="43" t="s">
        <v>180</v>
      </c>
      <c r="B24" s="43"/>
      <c r="C24" s="43"/>
      <c r="D24" s="43"/>
      <c r="E24" s="43"/>
      <c r="G24" s="44" t="n">
        <v>21</v>
      </c>
      <c r="H24" s="45"/>
    </row>
    <row r="25" customFormat="false" ht="15" hidden="false" customHeight="false" outlineLevel="0" collapsed="false">
      <c r="A25" s="16" t="s">
        <v>181</v>
      </c>
      <c r="B25" s="27" t="s">
        <v>182</v>
      </c>
      <c r="C25" s="24" t="s">
        <v>84</v>
      </c>
      <c r="D25" s="25"/>
      <c r="E25" s="26" t="s">
        <v>73</v>
      </c>
      <c r="G25" s="44" t="n">
        <v>22</v>
      </c>
      <c r="H25" s="45"/>
    </row>
    <row r="26" customFormat="false" ht="15" hidden="false" customHeight="false" outlineLevel="0" collapsed="false">
      <c r="A26" s="16" t="s">
        <v>183</v>
      </c>
      <c r="B26" s="23" t="n">
        <f aca="false">IF(UNIT_SYSTEM="SI",0,32)</f>
        <v>0</v>
      </c>
      <c r="C26" s="24" t="str">
        <f aca="false">IF(UNIT_SYSTEM="SI","°C","°F")</f>
        <v>°C</v>
      </c>
      <c r="D26" s="25"/>
      <c r="E26" s="26" t="s">
        <v>73</v>
      </c>
      <c r="G26" s="44" t="n">
        <v>23</v>
      </c>
      <c r="H26" s="45"/>
    </row>
    <row r="27" customFormat="false" ht="15" hidden="false" customHeight="false" outlineLevel="0" collapsed="false">
      <c r="A27" s="16" t="s">
        <v>184</v>
      </c>
      <c r="B27" s="40" t="n">
        <f aca="false">IF(UNIT_SYSTEM="SI",350,50.7632082055732)</f>
        <v>350</v>
      </c>
      <c r="C27" s="24" t="str">
        <f aca="false">IF(UNIT_SYSTEM="SI","MPa","ksi")</f>
        <v>MPa</v>
      </c>
      <c r="D27" s="25" t="s">
        <v>185</v>
      </c>
      <c r="E27" s="26" t="s">
        <v>73</v>
      </c>
      <c r="G27" s="44" t="n">
        <v>24</v>
      </c>
      <c r="H27" s="45"/>
    </row>
    <row r="28" customFormat="false" ht="15" hidden="false" customHeight="false" outlineLevel="0" collapsed="false">
      <c r="A28" s="16" t="s">
        <v>186</v>
      </c>
      <c r="B28" s="27" t="s">
        <v>187</v>
      </c>
      <c r="C28" s="24" t="s">
        <v>84</v>
      </c>
      <c r="D28" s="25" t="s">
        <v>188</v>
      </c>
      <c r="E28" s="26" t="s">
        <v>73</v>
      </c>
      <c r="G28" s="44" t="n">
        <v>25</v>
      </c>
      <c r="H28" s="45"/>
    </row>
    <row r="29" customFormat="false" ht="15" hidden="false" customHeight="false" outlineLevel="0" collapsed="false">
      <c r="A29" s="16" t="s">
        <v>189</v>
      </c>
      <c r="B29" s="23" t="n">
        <f aca="false">IF(UNIT_SYSTEM="SI",0,32)</f>
        <v>0</v>
      </c>
      <c r="C29" s="24" t="str">
        <f aca="false">IF(UNIT_SYSTEM="SI","°C","°F")</f>
        <v>°C</v>
      </c>
      <c r="D29" s="25"/>
      <c r="E29" s="26" t="s">
        <v>73</v>
      </c>
      <c r="G29" s="44" t="n">
        <v>26</v>
      </c>
      <c r="H29" s="45"/>
    </row>
    <row r="30" customFormat="false" ht="15" hidden="false" customHeight="false" outlineLevel="0" collapsed="false">
      <c r="A30" s="16" t="s">
        <v>190</v>
      </c>
      <c r="B30" s="23" t="n">
        <f aca="false">IF(UNIT_SYSTEM="SI",50,285.507415198588)</f>
        <v>50</v>
      </c>
      <c r="C30" s="24" t="str">
        <f aca="false">IF(UNIT_SYSTEM="SI","kJ/m²","in-lb/in²")</f>
        <v>kJ/m²</v>
      </c>
      <c r="D30" s="25"/>
      <c r="E30" s="26" t="s">
        <v>73</v>
      </c>
      <c r="G30" s="44" t="n">
        <v>27</v>
      </c>
      <c r="H30" s="45"/>
    </row>
    <row r="31" customFormat="false" ht="15" hidden="false" customHeight="false" outlineLevel="0" collapsed="false">
      <c r="A31" s="16" t="s">
        <v>191</v>
      </c>
      <c r="B31" s="40" t="n">
        <f aca="false">IF(UNIT_SYSTEM="SI",200000,29007.5475460418)</f>
        <v>200000</v>
      </c>
      <c r="C31" s="24" t="str">
        <f aca="false">IF(UNIT_SYSTEM="SI","MPa","ksi")</f>
        <v>MPa</v>
      </c>
      <c r="D31" s="25"/>
      <c r="E31" s="26" t="s">
        <v>73</v>
      </c>
      <c r="G31" s="44" t="n">
        <v>28</v>
      </c>
      <c r="H31" s="45"/>
    </row>
    <row r="32" customFormat="false" ht="15" hidden="false" customHeight="false" outlineLevel="0" collapsed="false">
      <c r="A32" s="16" t="s">
        <v>192</v>
      </c>
      <c r="B32" s="23" t="n">
        <v>0.3</v>
      </c>
      <c r="C32" s="24" t="s">
        <v>84</v>
      </c>
      <c r="D32" s="25"/>
      <c r="E32" s="26" t="s">
        <v>73</v>
      </c>
      <c r="G32" s="44" t="n">
        <v>29</v>
      </c>
      <c r="H32" s="45"/>
    </row>
    <row r="33" customFormat="false" ht="15" hidden="false" customHeight="false" outlineLevel="0" collapsed="false">
      <c r="A33" s="16" t="s">
        <v>193</v>
      </c>
      <c r="B33" s="23" t="n">
        <f aca="false">IF(UNIT_SYSTEM="SI",25,0.984251968503937)</f>
        <v>25</v>
      </c>
      <c r="C33" s="24" t="str">
        <f aca="false">IF(UNIT_SYSTEM="SI","mm","in")</f>
        <v>mm</v>
      </c>
      <c r="D33" s="25"/>
      <c r="E33" s="26" t="s">
        <v>73</v>
      </c>
      <c r="G33" s="44" t="n">
        <v>30</v>
      </c>
      <c r="H33" s="45"/>
    </row>
    <row r="34" customFormat="false" ht="15" hidden="false" customHeight="false" outlineLevel="0" collapsed="false">
      <c r="A34" s="16" t="s">
        <v>194</v>
      </c>
      <c r="B34" s="23" t="n">
        <v>0.05</v>
      </c>
      <c r="C34" s="24" t="s">
        <v>84</v>
      </c>
      <c r="D34" s="25" t="s">
        <v>195</v>
      </c>
      <c r="E34" s="26" t="s">
        <v>73</v>
      </c>
    </row>
    <row r="35" customFormat="false" ht="15" hidden="false" customHeight="false" outlineLevel="0" collapsed="false">
      <c r="A35" s="16" t="s">
        <v>196</v>
      </c>
      <c r="B35" s="27" t="s">
        <v>197</v>
      </c>
      <c r="C35" s="24" t="s">
        <v>84</v>
      </c>
      <c r="D35" s="25" t="s">
        <v>198</v>
      </c>
      <c r="E35" s="26" t="s">
        <v>73</v>
      </c>
    </row>
    <row r="36" customFormat="false" ht="15" hidden="false" customHeight="false" outlineLevel="0" collapsed="false">
      <c r="A36" s="16" t="s">
        <v>199</v>
      </c>
      <c r="B36" s="23" t="n">
        <f aca="false">IF(UNIT_SYSTEM="SI",40,1.5748031496063)</f>
        <v>40</v>
      </c>
      <c r="C36" s="24" t="str">
        <f aca="false">IF(UNIT_SYSTEM="SI","mm","in")</f>
        <v>mm</v>
      </c>
      <c r="D36" s="25"/>
      <c r="E36" s="26" t="s">
        <v>73</v>
      </c>
    </row>
    <row r="37" customFormat="false" ht="15" hidden="false" customHeight="false" outlineLevel="0" collapsed="false">
      <c r="A37" s="16" t="s">
        <v>200</v>
      </c>
      <c r="B37" s="27" t="s">
        <v>201</v>
      </c>
      <c r="C37" s="24" t="s">
        <v>84</v>
      </c>
      <c r="D37" s="25"/>
      <c r="E37" s="26" t="s">
        <v>73</v>
      </c>
    </row>
    <row r="38" customFormat="false" ht="15" hidden="false" customHeight="false" outlineLevel="0" collapsed="false">
      <c r="A38" s="16" t="s">
        <v>202</v>
      </c>
      <c r="B38" s="27" t="s">
        <v>201</v>
      </c>
      <c r="C38" s="24" t="s">
        <v>84</v>
      </c>
      <c r="D38" s="25" t="s">
        <v>203</v>
      </c>
      <c r="E38" s="26" t="s">
        <v>73</v>
      </c>
    </row>
    <row r="39" customFormat="false" ht="15" hidden="false" customHeight="false" outlineLevel="0" collapsed="false">
      <c r="A39" s="16" t="s">
        <v>204</v>
      </c>
      <c r="B39" s="23" t="n">
        <v>0</v>
      </c>
      <c r="C39" s="24" t="str">
        <f aca="false">IF(UNIT_SYSTEM="SI","°C","°F")</f>
        <v>°C</v>
      </c>
      <c r="D39" s="25"/>
      <c r="E39" s="26" t="s">
        <v>73</v>
      </c>
    </row>
    <row r="40" customFormat="false" ht="19.5" hidden="false" customHeight="true" outlineLevel="0" collapsed="false">
      <c r="A40" s="43" t="s">
        <v>205</v>
      </c>
      <c r="B40" s="43"/>
      <c r="C40" s="43"/>
      <c r="D40" s="43"/>
      <c r="E40" s="43"/>
    </row>
    <row r="41" customFormat="false" ht="15" hidden="false" customHeight="false" outlineLevel="0" collapsed="false">
      <c r="A41" s="16" t="s">
        <v>206</v>
      </c>
      <c r="B41" s="27" t="s">
        <v>207</v>
      </c>
      <c r="C41" s="24" t="s">
        <v>84</v>
      </c>
      <c r="D41" s="25"/>
      <c r="E41" s="26" t="s">
        <v>73</v>
      </c>
    </row>
    <row r="42" customFormat="false" ht="15" hidden="false" customHeight="false" outlineLevel="0" collapsed="false">
      <c r="A42" s="16" t="s">
        <v>208</v>
      </c>
      <c r="B42" s="40" t="n">
        <f aca="false">IF(UNIT_SYSTEM="SI",100,73.7562149277266)</f>
        <v>100</v>
      </c>
      <c r="C42" s="24" t="str">
        <f aca="false">IF(UNIT_SYSTEM="SI","J","ft-lb")</f>
        <v>J</v>
      </c>
      <c r="D42" s="25"/>
      <c r="E42" s="26" t="s">
        <v>73</v>
      </c>
    </row>
    <row r="43" customFormat="false" ht="15" hidden="false" customHeight="false" outlineLevel="0" collapsed="false">
      <c r="A43" s="16" t="s">
        <v>209</v>
      </c>
      <c r="B43" s="27" t="s">
        <v>166</v>
      </c>
      <c r="C43" s="24" t="s">
        <v>84</v>
      </c>
      <c r="D43" s="25"/>
      <c r="E43" s="26" t="s">
        <v>73</v>
      </c>
    </row>
    <row r="44" customFormat="false" ht="15" hidden="false" customHeight="false" outlineLevel="0" collapsed="false">
      <c r="A44" s="16" t="s">
        <v>210</v>
      </c>
      <c r="B44" s="40" t="n">
        <f aca="false">IF(UNIT_SYSTEM="SI",110,100)</f>
        <v>110</v>
      </c>
      <c r="C44" s="24" t="str">
        <f aca="false">IF(UNIT_SYSTEM="SI","MPa√m","ksi√in")</f>
        <v>MPa√m</v>
      </c>
      <c r="D44" s="25" t="s">
        <v>177</v>
      </c>
      <c r="E44" s="26" t="s">
        <v>73</v>
      </c>
    </row>
    <row r="45" customFormat="false" ht="19.5" hidden="false" customHeight="true" outlineLevel="0" collapsed="false">
      <c r="A45" s="43" t="s">
        <v>211</v>
      </c>
      <c r="B45" s="43"/>
      <c r="C45" s="43"/>
      <c r="D45" s="43"/>
      <c r="E45" s="43"/>
    </row>
    <row r="46" customFormat="false" ht="15" hidden="false" customHeight="false" outlineLevel="0" collapsed="false">
      <c r="A46" s="16" t="s">
        <v>212</v>
      </c>
      <c r="B46" s="40" t="n">
        <f aca="false">IF(UNIT_SYSTEM="SI",100000,91004.7705029255)</f>
        <v>100000</v>
      </c>
      <c r="C46" s="24" t="str">
        <f aca="false">IF(UNIT_SYSTEM="SI","MPa√m/s","ksi√in/s")</f>
        <v>MPa√m/s</v>
      </c>
      <c r="D46" s="25"/>
      <c r="E46" s="26" t="s">
        <v>73</v>
      </c>
    </row>
    <row r="47" customFormat="false" ht="15" hidden="false" customHeight="false" outlineLevel="0" collapsed="false">
      <c r="A47" s="16" t="s">
        <v>213</v>
      </c>
      <c r="B47" s="23" t="n">
        <f aca="false">IF(UNIT_SYSTEM="SI",1,0.910047705029255)</f>
        <v>1</v>
      </c>
      <c r="C47" s="24" t="str">
        <f aca="false">IF(UNIT_SYSTEM="SI","MPa√m/s","ksi√in/s")</f>
        <v>MPa√m/s</v>
      </c>
      <c r="D47" s="25" t="s">
        <v>214</v>
      </c>
      <c r="E47" s="26" t="s">
        <v>73</v>
      </c>
    </row>
    <row r="48" customFormat="false" ht="15" hidden="false" customHeight="false" outlineLevel="0" collapsed="false">
      <c r="A48" s="16" t="s">
        <v>215</v>
      </c>
      <c r="B48" s="23" t="n">
        <v>0</v>
      </c>
      <c r="C48" s="24" t="s">
        <v>216</v>
      </c>
      <c r="D48" s="25" t="s">
        <v>217</v>
      </c>
      <c r="E48" s="26" t="s">
        <v>73</v>
      </c>
    </row>
    <row r="49" customFormat="false" ht="19.5" hidden="false" customHeight="true" outlineLevel="0" collapsed="false">
      <c r="A49" s="43" t="s">
        <v>218</v>
      </c>
      <c r="B49" s="43"/>
      <c r="C49" s="43"/>
      <c r="D49" s="43"/>
      <c r="E49" s="43"/>
    </row>
    <row r="50" customFormat="false" ht="15" hidden="false" customHeight="false" outlineLevel="0" collapsed="false">
      <c r="A50" s="16" t="s">
        <v>219</v>
      </c>
      <c r="B50" s="27" t="s">
        <v>220</v>
      </c>
      <c r="C50" s="24" t="s">
        <v>84</v>
      </c>
      <c r="D50" s="25"/>
      <c r="E50" s="26" t="s">
        <v>73</v>
      </c>
    </row>
    <row r="51" customFormat="false" ht="15" hidden="false" customHeight="false" outlineLevel="0" collapsed="false">
      <c r="A51" s="16" t="s">
        <v>221</v>
      </c>
      <c r="B51" s="27" t="s">
        <v>222</v>
      </c>
      <c r="C51" s="24" t="s">
        <v>84</v>
      </c>
      <c r="D51" s="25"/>
      <c r="E51" s="26" t="s">
        <v>73</v>
      </c>
    </row>
    <row r="52" customFormat="false" ht="15" hidden="false" customHeight="false" outlineLevel="0" collapsed="false">
      <c r="A52" s="16" t="s">
        <v>223</v>
      </c>
      <c r="B52" s="27"/>
      <c r="C52" s="24" t="s">
        <v>216</v>
      </c>
      <c r="D52" s="25"/>
      <c r="E52" s="26" t="s">
        <v>73</v>
      </c>
    </row>
    <row r="53" customFormat="false" ht="15" hidden="false" customHeight="false" outlineLevel="0" collapsed="false">
      <c r="A53" s="16" t="s">
        <v>224</v>
      </c>
      <c r="B53" s="27"/>
      <c r="C53" s="24" t="s">
        <v>216</v>
      </c>
      <c r="D53" s="25"/>
      <c r="E53" s="26" t="s">
        <v>73</v>
      </c>
    </row>
    <row r="54" customFormat="false" ht="15" hidden="false" customHeight="false" outlineLevel="0" collapsed="false">
      <c r="A54" s="16" t="s">
        <v>225</v>
      </c>
      <c r="B54" s="27"/>
      <c r="C54" s="24" t="s">
        <v>216</v>
      </c>
      <c r="D54" s="25"/>
      <c r="E54" s="26" t="s">
        <v>73</v>
      </c>
    </row>
    <row r="55" customFormat="false" ht="15" hidden="false" customHeight="false" outlineLevel="0" collapsed="false">
      <c r="A55" s="16" t="s">
        <v>226</v>
      </c>
      <c r="B55" s="27"/>
      <c r="C55" s="24" t="s">
        <v>216</v>
      </c>
      <c r="D55" s="25"/>
      <c r="E55" s="26" t="s">
        <v>73</v>
      </c>
    </row>
    <row r="56" customFormat="false" ht="15" hidden="false" customHeight="false" outlineLevel="0" collapsed="false">
      <c r="A56" s="16" t="s">
        <v>227</v>
      </c>
      <c r="B56" s="27"/>
      <c r="C56" s="24" t="s">
        <v>216</v>
      </c>
      <c r="D56" s="25"/>
      <c r="E56" s="26" t="s">
        <v>73</v>
      </c>
    </row>
    <row r="57" customFormat="false" ht="15" hidden="false" customHeight="false" outlineLevel="0" collapsed="false">
      <c r="A57" s="16" t="s">
        <v>228</v>
      </c>
      <c r="B57" s="27"/>
      <c r="C57" s="24" t="s">
        <v>216</v>
      </c>
      <c r="D57" s="25"/>
      <c r="E57" s="26" t="s">
        <v>73</v>
      </c>
    </row>
  </sheetData>
  <mergeCells count="11">
    <mergeCell ref="A1:E1"/>
    <mergeCell ref="A2:E2"/>
    <mergeCell ref="A4:E4"/>
    <mergeCell ref="A8:E8"/>
    <mergeCell ref="A10:E10"/>
    <mergeCell ref="A14:E14"/>
    <mergeCell ref="A17:E17"/>
    <mergeCell ref="A24:E24"/>
    <mergeCell ref="A40:E40"/>
    <mergeCell ref="A45:E45"/>
    <mergeCell ref="A49:E49"/>
  </mergeCells>
  <conditionalFormatting sqref="A5:E200">
    <cfRule type="expression" priority="2" aboveAverage="0" equalAverage="0" bottom="0" percent="0" rank="0" text="" dxfId="2">
      <formula>ISNUMBER(SEARCH(in_method,$A5))</formula>
    </cfRule>
  </conditionalFormatting>
  <dataValidations count="18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L_TOUGHNESS_METHOD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5" type="list">
      <formula1>L_SS_CONDITION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6" type="list">
      <formula1>L_LOWER_MEAN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8" type="list">
      <formula1>L_TREF_MODE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0" type="list">
      <formula1>L_CURVE_MODE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1" type="list">
      <formula1>L_XI_CURVE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2" type="list">
      <formula1>INDIRECT("L_XI_CAP_"&amp;UNIT_SYSTEM)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5" type="list">
      <formula1>L_T0_MODE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8" type="list">
      <formula1>L_SULFUR</formula1>
      <formula2>0</formula2>
    </dataValidation>
    <dataValidation allowBlank="true" error="Select a value from the drop-down list" errorStyle="stop" errorTitle="ATLAS input" operator="between" prompt="Select from the list (free entry also allowed)" promptTitle="ATLAS" showDropDown="false" showErrorMessage="false" showInputMessage="true" sqref="B34" type="list">
      <formula1>L_PF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35" type="list">
      <formula1>L_L_MODE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37" type="list">
      <formula1>L_US_LIMIT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38" type="list">
      <formula1>L_H2_SHIFT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41" type="list">
      <formula1>L_US_OPTION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43" type="list">
      <formula1>L_LOWER_MEDIAN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44" type="list">
      <formula1>INDIRECT("L_XI_CAP_"&amp;UNIT_SYSTEM)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50" type="list">
      <formula1>L_CRMO_ROUTE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51" type="list">
      <formula1>L_CRMO_VINTAGE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47" t="str">
        <f aca="false">"CRACK GROWTH  -  KPSCL1 / KPSCL2 / RPSCL  ("&amp;UNIT_SYSTEM&amp;" UNITS)"</f>
        <v>CRACK GROWTH  -  KPSCL1 / KPSCL2 / RPSCL  (SI UNITS)</v>
      </c>
      <c r="B1" s="47"/>
      <c r="C1" s="47"/>
      <c r="D1" s="47"/>
      <c r="E1" s="47"/>
    </row>
    <row r="2" customFormat="false" ht="15" hidden="false" customHeight="false" outlineLevel="0" collapsed="false">
      <c r="A2" s="20" t="s">
        <v>229</v>
      </c>
      <c r="B2" s="20"/>
      <c r="C2" s="20"/>
      <c r="D2" s="20"/>
      <c r="E2" s="20"/>
    </row>
    <row r="3" customFormat="false" ht="15" hidden="false" customHeight="false" outlineLevel="0" collapsed="false">
      <c r="A3" s="48" t="s">
        <v>66</v>
      </c>
      <c r="B3" s="48" t="s">
        <v>67</v>
      </c>
      <c r="C3" s="48" t="s">
        <v>68</v>
      </c>
      <c r="D3" s="48" t="s">
        <v>69</v>
      </c>
      <c r="E3" s="48" t="s">
        <v>70</v>
      </c>
    </row>
    <row r="4" customFormat="false" ht="19.5" hidden="false" customHeight="true" outlineLevel="0" collapsed="false">
      <c r="A4" s="49" t="s">
        <v>230</v>
      </c>
      <c r="B4" s="49"/>
      <c r="C4" s="49"/>
      <c r="D4" s="49"/>
      <c r="E4" s="49"/>
    </row>
    <row r="5" customFormat="false" ht="15" hidden="false" customHeight="false" outlineLevel="0" collapsed="false">
      <c r="A5" s="16" t="s">
        <v>231</v>
      </c>
      <c r="B5" s="27" t="s">
        <v>232</v>
      </c>
      <c r="C5" s="24" t="s">
        <v>84</v>
      </c>
      <c r="D5" s="25"/>
      <c r="E5" s="26" t="s">
        <v>73</v>
      </c>
    </row>
    <row r="6" customFormat="false" ht="15" hidden="false" customHeight="false" outlineLevel="0" collapsed="false">
      <c r="A6" s="28" t="s">
        <v>233</v>
      </c>
      <c r="B6" s="31" t="str">
        <f aca="false">IF(in_growth_model="FROM_MATERIAL_DB",db_default_growth_model,in_growth_model)</f>
        <v>PROJECT_MATERIAL_DATA</v>
      </c>
      <c r="C6" s="24"/>
      <c r="D6" s="25"/>
      <c r="E6" s="30" t="s">
        <v>82</v>
      </c>
    </row>
    <row r="7" customFormat="false" ht="15" hidden="false" customHeight="false" outlineLevel="0" collapsed="false">
      <c r="A7" s="28" t="s">
        <v>234</v>
      </c>
      <c r="B7" s="31" t="str">
        <f aca="false">IFERROR(IF(INDEX(DB_Growth!$C:$C,MATCH(calc_gm,DB_Growth!$A:$A,0))="","-",INDEX(DB_Growth!$C:$C,MATCH(calc_gm,DB_Growth!$A:$A,0))),"-")</f>
        <v>Material DB</v>
      </c>
      <c r="C7" s="24"/>
      <c r="D7" s="25"/>
      <c r="E7" s="30" t="s">
        <v>82</v>
      </c>
    </row>
    <row r="8" customFormat="false" ht="15" hidden="false" customHeight="false" outlineLevel="0" collapsed="false">
      <c r="A8" s="28" t="s">
        <v>235</v>
      </c>
      <c r="B8" s="31" t="str">
        <f aca="false">IFERROR(IF(INDEX(DB_Growth!$D:$D,MATCH(calc_gm,DB_Growth!$A:$A,0))="","-",INDEX(DB_Growth!$D:$D,MATCH(calc_gm,DB_Growth!$A:$A,0))),"-")</f>
        <v>PARIS_9F135</v>
      </c>
      <c r="C8" s="24"/>
      <c r="D8" s="25"/>
      <c r="E8" s="30" t="s">
        <v>82</v>
      </c>
    </row>
    <row r="9" customFormat="false" ht="15" hidden="false" customHeight="false" outlineLevel="0" collapsed="false">
      <c r="A9" s="28" t="s">
        <v>236</v>
      </c>
      <c r="B9" s="31" t="str">
        <f aca="false">IFERROR(IF(INDEX(DB_Growth!$E:$E,MATCH(calc_gm,DB_Growth!$A:$A,0))="","-",INDEX(DB_Growth!$E:$E,MATCH(calc_gm,DB_Growth!$A:$A,0))),"-")</f>
        <v>C, n, dKth from selected material record</v>
      </c>
      <c r="C9" s="24"/>
      <c r="D9" s="25"/>
      <c r="E9" s="30" t="s">
        <v>82</v>
      </c>
    </row>
    <row r="10" customFormat="false" ht="15" hidden="false" customHeight="false" outlineLevel="0" collapsed="false">
      <c r="A10" s="28" t="s">
        <v>237</v>
      </c>
      <c r="B10" s="31" t="str">
        <f aca="false">IFERROR(IF(INDEX(DB_Growth!$F:$F,MATCH(calc_gm,DB_Growth!$A:$A,0))="","-",INDEX(DB_Growth!$F:$F,MATCH(calc_gm,DB_Growth!$A:$A,0))),"-")</f>
        <v>Approved material-specific data</v>
      </c>
      <c r="C10" s="24"/>
      <c r="D10" s="25"/>
      <c r="E10" s="30" t="s">
        <v>82</v>
      </c>
    </row>
    <row r="11" customFormat="false" ht="15" hidden="false" customHeight="false" outlineLevel="0" collapsed="false">
      <c r="A11" s="28" t="s">
        <v>238</v>
      </c>
      <c r="B11" s="50" t="n">
        <f aca="false">IFERROR(IF(calc_gm="PROJECT_MATERIAL_DATA",INDEX(DB_Materials!$O:$O,MATCH(in_material_id,DB_Materials!$A:$A,0)),IF(calc_gm="PROJECT_USER_PARIS","see below",IF(INDEX(DB_Growth!$G:$G,MATCH(calc_gm,DB_Growth!$A:$A,0))="","-",INDEX(DB_Growth!$G:$G,MATCH(calc_gm,DB_Growth!$A:$A,0))))),"-")</f>
        <v>2E-009</v>
      </c>
      <c r="C11" s="24" t="str">
        <f aca="false">IF(UNIT_SYSTEM="SI","mm/cycle","in/cycle")</f>
        <v>mm/cycle</v>
      </c>
      <c r="D11" s="25" t="s">
        <v>239</v>
      </c>
      <c r="E11" s="30" t="s">
        <v>82</v>
      </c>
    </row>
    <row r="12" customFormat="false" ht="15" hidden="false" customHeight="false" outlineLevel="0" collapsed="false">
      <c r="A12" s="28" t="s">
        <v>240</v>
      </c>
      <c r="B12" s="51" t="n">
        <f aca="false">IFERROR(IF(calc_gm="PROJECT_MATERIAL_DATA",INDEX(DB_Materials!$P:$P,MATCH(in_material_id,DB_Materials!$A:$A,0)),IF(calc_gm="PROJECT_USER_PARIS","see below",IF(INDEX(DB_Growth!$H:$H,MATCH(calc_gm,DB_Growth!$A:$A,0))="","-",INDEX(DB_Growth!$H:$H,MATCH(calc_gm,DB_Growth!$A:$A,0))))),"-")</f>
        <v>3</v>
      </c>
      <c r="C12" s="24" t="s">
        <v>84</v>
      </c>
      <c r="D12" s="25"/>
      <c r="E12" s="30" t="s">
        <v>82</v>
      </c>
    </row>
    <row r="13" customFormat="false" ht="15" hidden="false" customHeight="false" outlineLevel="0" collapsed="false">
      <c r="A13" s="28" t="s">
        <v>241</v>
      </c>
      <c r="B13" s="50" t="str">
        <f aca="false">IFERROR(IF(INDEX(DB_Growth!$I:$I,MATCH(calc_gm,DB_Growth!$A:$A,0))="","-",INDEX(DB_Growth!$I:$I,MATCH(calc_gm,DB_Growth!$A:$A,0))),"-")</f>
        <v>-</v>
      </c>
      <c r="C13" s="24" t="str">
        <f aca="false">IF(UNIT_SYSTEM="SI","mm/cycle","in/cycle")</f>
        <v>mm/cycle</v>
      </c>
      <c r="D13" s="25"/>
      <c r="E13" s="30" t="s">
        <v>82</v>
      </c>
    </row>
    <row r="14" customFormat="false" ht="15" hidden="false" customHeight="false" outlineLevel="0" collapsed="false">
      <c r="A14" s="28" t="s">
        <v>242</v>
      </c>
      <c r="B14" s="51" t="str">
        <f aca="false">IFERROR(IF(INDEX(DB_Growth!$J:$J,MATCH(calc_gm,DB_Growth!$A:$A,0))="","-",INDEX(DB_Growth!$J:$J,MATCH(calc_gm,DB_Growth!$A:$A,0))),"-")</f>
        <v>-</v>
      </c>
      <c r="C14" s="24" t="s">
        <v>84</v>
      </c>
      <c r="D14" s="25"/>
      <c r="E14" s="30" t="s">
        <v>82</v>
      </c>
    </row>
    <row r="15" customFormat="false" ht="15" hidden="false" customHeight="false" outlineLevel="0" collapsed="false">
      <c r="A15" s="28" t="s">
        <v>243</v>
      </c>
      <c r="B15" s="39" t="str">
        <f aca="false">IFERROR(IF(INDEX(DB_Growth!$K:$K,MATCH(calc_gm,DB_Growth!$A:$A,0))="","-",INDEX(DB_Growth!$K:$K,MATCH(calc_gm,DB_Growth!$A:$A,0))),"-")</f>
        <v>-</v>
      </c>
      <c r="C15" s="24" t="str">
        <f aca="false">IF(UNIT_SYSTEM="SI","MPa√m","ksi√in")</f>
        <v>MPa√m</v>
      </c>
      <c r="D15" s="25"/>
      <c r="E15" s="30" t="s">
        <v>82</v>
      </c>
    </row>
    <row r="16" customFormat="false" ht="15" hidden="false" customHeight="false" outlineLevel="0" collapsed="false">
      <c r="A16" s="28" t="s">
        <v>244</v>
      </c>
      <c r="B16" s="31" t="n">
        <f aca="false">IFERROR(IF(calc_gm="PROJECT_MATERIAL_DATA",INDEX(DB_Materials!$Q:$Q,MATCH(in_material_id,DB_Materials!$A:$A,0)),IF(calc_gm="PROJECT_USER_PARIS","see below",IF(INDEX(DB_Growth!$L:$L,MATCH(calc_gm,DB_Growth!$A:$A,0))="","-",INDEX(DB_Growth!$L:$L,MATCH(calc_gm,DB_Growth!$A:$A,0))))),"-")</f>
        <v>5</v>
      </c>
      <c r="C16" s="24" t="str">
        <f aca="false">IF(UNIT_SYSTEM="SI","MPa√m","ksi√in")</f>
        <v>MPa√m</v>
      </c>
      <c r="D16" s="25"/>
      <c r="E16" s="30" t="s">
        <v>82</v>
      </c>
    </row>
    <row r="17" customFormat="false" ht="19.5" hidden="false" customHeight="true" outlineLevel="0" collapsed="false">
      <c r="A17" s="49" t="s">
        <v>245</v>
      </c>
      <c r="B17" s="49"/>
      <c r="C17" s="49"/>
      <c r="D17" s="49"/>
      <c r="E17" s="49"/>
    </row>
    <row r="18" customFormat="false" ht="15" hidden="false" customHeight="false" outlineLevel="0" collapsed="false">
      <c r="A18" s="16" t="s">
        <v>246</v>
      </c>
      <c r="B18" s="27" t="s">
        <v>247</v>
      </c>
      <c r="C18" s="24" t="s">
        <v>84</v>
      </c>
      <c r="D18" s="25" t="s">
        <v>248</v>
      </c>
      <c r="E18" s="26" t="s">
        <v>73</v>
      </c>
    </row>
    <row r="19" customFormat="false" ht="15" hidden="false" customHeight="false" outlineLevel="0" collapsed="false">
      <c r="A19" s="16" t="s">
        <v>249</v>
      </c>
      <c r="B19" s="27" t="s">
        <v>250</v>
      </c>
      <c r="C19" s="24" t="s">
        <v>84</v>
      </c>
      <c r="D19" s="25" t="s">
        <v>251</v>
      </c>
      <c r="E19" s="26" t="s">
        <v>73</v>
      </c>
    </row>
    <row r="20" customFormat="false" ht="15" hidden="false" customHeight="false" outlineLevel="0" collapsed="false">
      <c r="A20" s="16" t="s">
        <v>252</v>
      </c>
      <c r="B20" s="27" t="s">
        <v>197</v>
      </c>
      <c r="C20" s="24" t="s">
        <v>84</v>
      </c>
      <c r="D20" s="25" t="s">
        <v>253</v>
      </c>
      <c r="E20" s="26" t="s">
        <v>73</v>
      </c>
    </row>
    <row r="21" customFormat="false" ht="15" hidden="false" customHeight="false" outlineLevel="0" collapsed="false">
      <c r="A21" s="16" t="s">
        <v>254</v>
      </c>
      <c r="B21" s="40" t="n">
        <f aca="false">IF(UNIT_SYSTEM="SI",200000,29007.5475460418)</f>
        <v>200000</v>
      </c>
      <c r="C21" s="24" t="str">
        <f aca="false">IF(UNIT_SYSTEM="SI","MPa","ksi")</f>
        <v>MPa</v>
      </c>
      <c r="D21" s="25"/>
      <c r="E21" s="26" t="s">
        <v>73</v>
      </c>
    </row>
    <row r="22" customFormat="false" ht="15" hidden="false" customHeight="false" outlineLevel="0" collapsed="false">
      <c r="A22" s="16" t="s">
        <v>255</v>
      </c>
      <c r="B22" s="40" t="n">
        <f aca="false">IF(UNIT_SYSTEM="SI",200000,29007.5475460418)</f>
        <v>200000</v>
      </c>
      <c r="C22" s="24" t="str">
        <f aca="false">IF(UNIT_SYSTEM="SI","MPa","ksi")</f>
        <v>MPa</v>
      </c>
      <c r="D22" s="25"/>
      <c r="E22" s="26" t="s">
        <v>73</v>
      </c>
    </row>
    <row r="23" customFormat="false" ht="15" hidden="false" customHeight="false" outlineLevel="0" collapsed="false">
      <c r="A23" s="16" t="s">
        <v>256</v>
      </c>
      <c r="B23" s="23" t="n">
        <v>0</v>
      </c>
      <c r="C23" s="24" t="s">
        <v>257</v>
      </c>
      <c r="D23" s="25" t="s">
        <v>258</v>
      </c>
      <c r="E23" s="26" t="s">
        <v>73</v>
      </c>
    </row>
    <row r="24" customFormat="false" ht="15" hidden="false" customHeight="false" outlineLevel="0" collapsed="false">
      <c r="A24" s="16" t="s">
        <v>259</v>
      </c>
      <c r="B24" s="27"/>
      <c r="C24" s="24" t="str">
        <f aca="false">IF(UNIT_SYSTEM="SI","MPa√m","ksi√in")</f>
        <v>MPa√m</v>
      </c>
      <c r="D24" s="25"/>
      <c r="E24" s="26" t="s">
        <v>73</v>
      </c>
    </row>
    <row r="25" customFormat="false" ht="15" hidden="false" customHeight="false" outlineLevel="0" collapsed="false">
      <c r="A25" s="28" t="s">
        <v>260</v>
      </c>
      <c r="B25" s="29" t="n">
        <f aca="false">MAX(in_E_ambient/in_E_temp,1)</f>
        <v>1</v>
      </c>
      <c r="C25" s="24" t="s">
        <v>84</v>
      </c>
      <c r="D25" s="25" t="s">
        <v>261</v>
      </c>
      <c r="E25" s="30" t="s">
        <v>82</v>
      </c>
    </row>
    <row r="26" customFormat="false" ht="19.5" hidden="false" customHeight="true" outlineLevel="0" collapsed="false">
      <c r="A26" s="49" t="s">
        <v>262</v>
      </c>
      <c r="B26" s="49"/>
      <c r="C26" s="49"/>
      <c r="D26" s="49"/>
      <c r="E26" s="49"/>
    </row>
    <row r="27" customFormat="false" ht="15" hidden="false" customHeight="false" outlineLevel="0" collapsed="false">
      <c r="A27" s="16" t="s">
        <v>263</v>
      </c>
      <c r="B27" s="27"/>
      <c r="C27" s="24" t="str">
        <f aca="false">IF(UNIT_SYSTEM="SI","mm/cycle","in/cycle")</f>
        <v>mm/cycle</v>
      </c>
      <c r="D27" s="25" t="s">
        <v>264</v>
      </c>
      <c r="E27" s="26" t="s">
        <v>73</v>
      </c>
    </row>
    <row r="28" customFormat="false" ht="15" hidden="false" customHeight="false" outlineLevel="0" collapsed="false">
      <c r="A28" s="16" t="s">
        <v>265</v>
      </c>
      <c r="B28" s="27"/>
      <c r="C28" s="24" t="s">
        <v>84</v>
      </c>
      <c r="D28" s="25"/>
      <c r="E28" s="26" t="s">
        <v>73</v>
      </c>
    </row>
    <row r="29" customFormat="false" ht="15" hidden="false" customHeight="false" outlineLevel="0" collapsed="false">
      <c r="A29" s="16" t="s">
        <v>266</v>
      </c>
      <c r="B29" s="27"/>
      <c r="C29" s="24" t="str">
        <f aca="false">IF(UNIT_SYSTEM="SI","MPa√m","ksi√in")</f>
        <v>MPa√m</v>
      </c>
      <c r="D29" s="25"/>
      <c r="E29" s="26" t="s">
        <v>73</v>
      </c>
    </row>
  </sheetData>
  <mergeCells count="5">
    <mergeCell ref="A1:E1"/>
    <mergeCell ref="A2:E2"/>
    <mergeCell ref="A4:E4"/>
    <mergeCell ref="A17:E17"/>
    <mergeCell ref="A26:E26"/>
  </mergeCells>
  <dataValidations count="4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L_GROWTH_IDS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8" type="list">
      <formula1>L_R_BASIS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9" type="list">
      <formula1>L_WELD_EQ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0" type="list">
      <formula1>L_RE_MODE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4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52" t="str">
        <f aca="false">"LOADS  -  KPSCL1 / KPSCL2 / RPSCL  ("&amp;UNIT_SYSTEM&amp;" UNITS)"</f>
        <v>LOADS  -  KPSCL1 / KPSCL2 / RPSCL  (SI UNITS)</v>
      </c>
      <c r="B1" s="52"/>
      <c r="C1" s="52"/>
      <c r="D1" s="52"/>
      <c r="E1" s="52"/>
    </row>
    <row r="2" customFormat="false" ht="15" hidden="false" customHeight="false" outlineLevel="0" collapsed="false">
      <c r="A2" s="20" t="s">
        <v>267</v>
      </c>
      <c r="B2" s="20"/>
      <c r="C2" s="20"/>
      <c r="D2" s="20"/>
      <c r="E2" s="20"/>
    </row>
    <row r="3" customFormat="false" ht="15" hidden="false" customHeight="false" outlineLevel="0" collapsed="false">
      <c r="A3" s="53" t="s">
        <v>66</v>
      </c>
      <c r="B3" s="53" t="s">
        <v>67</v>
      </c>
      <c r="C3" s="53" t="s">
        <v>68</v>
      </c>
      <c r="D3" s="53" t="s">
        <v>69</v>
      </c>
      <c r="E3" s="53" t="s">
        <v>70</v>
      </c>
    </row>
    <row r="4" customFormat="false" ht="19.5" hidden="false" customHeight="true" outlineLevel="0" collapsed="false">
      <c r="A4" s="54" t="s">
        <v>268</v>
      </c>
      <c r="B4" s="54"/>
      <c r="C4" s="54"/>
      <c r="D4" s="54"/>
      <c r="E4" s="54"/>
    </row>
    <row r="5" customFormat="false" ht="31.5" hidden="false" customHeight="true" outlineLevel="0" collapsed="false">
      <c r="A5" s="16" t="s">
        <v>269</v>
      </c>
      <c r="B5" s="55" t="s">
        <v>270</v>
      </c>
      <c r="C5" s="24" t="s">
        <v>84</v>
      </c>
      <c r="D5" s="25" t="s">
        <v>271</v>
      </c>
      <c r="E5" s="26" t="s">
        <v>73</v>
      </c>
    </row>
    <row r="6" customFormat="false" ht="31.5" hidden="false" customHeight="true" outlineLevel="0" collapsed="false">
      <c r="A6" s="16" t="s">
        <v>272</v>
      </c>
      <c r="B6" s="55" t="s">
        <v>273</v>
      </c>
      <c r="C6" s="24" t="s">
        <v>84</v>
      </c>
      <c r="D6" s="25" t="s">
        <v>274</v>
      </c>
      <c r="E6" s="26" t="s">
        <v>73</v>
      </c>
    </row>
    <row r="7" customFormat="false" ht="15" hidden="false" customHeight="false" outlineLevel="0" collapsed="false">
      <c r="A7" s="28" t="s">
        <v>275</v>
      </c>
      <c r="B7" s="31" t="str">
        <f aca="false">IF(ISNUMBER(SEARCH("KPSCL2",in_stress_dist)),"KPSCL2","KPSCL1")</f>
        <v>KPSCL1</v>
      </c>
      <c r="C7" s="24"/>
      <c r="D7" s="25"/>
      <c r="E7" s="30" t="s">
        <v>82</v>
      </c>
    </row>
    <row r="8" customFormat="false" ht="15" hidden="false" customHeight="false" outlineLevel="0" collapsed="false">
      <c r="A8" s="28" t="s">
        <v>276</v>
      </c>
      <c r="B8" s="31" t="str">
        <f aca="false">IF(calc_sif="KPSCL2","KPSCL2 - weight function, Eqs. 9B.261-9B.269 (9B.3.3)","KPSCL1 - Eq. 9B.12 with G0-G4 (9B.3.2)")</f>
        <v>KPSCL1 - Eq. 9B.12 with G0-G4 (9B.3.2)</v>
      </c>
      <c r="C8" s="24"/>
      <c r="D8" s="25"/>
      <c r="E8" s="30" t="s">
        <v>82</v>
      </c>
    </row>
    <row r="9" customFormat="false" ht="15" hidden="false" customHeight="false" outlineLevel="0" collapsed="false">
      <c r="A9" s="28" t="s">
        <v>277</v>
      </c>
      <c r="B9" s="31" t="str">
        <f aca="false">IF(calc_sif="KPSCL2","RPSCL (9C.3.3 -&gt; 9C.3.2), Eq. 9C.31","RPSCL (9C.3.2), Eq. 9C.31")</f>
        <v>RPSCL (9C.3.2), Eq. 9C.31</v>
      </c>
      <c r="C9" s="24"/>
      <c r="D9" s="25"/>
      <c r="E9" s="30" t="s">
        <v>82</v>
      </c>
    </row>
    <row r="10" customFormat="false" ht="15" hidden="false" customHeight="false" outlineLevel="0" collapsed="false">
      <c r="A10" s="28" t="s">
        <v>278</v>
      </c>
      <c r="B10" s="31" t="str">
        <f aca="false">IF(ISNUMBER(SEARCH("Membrane",in_stress_input)),"Section MEMBRANE + BENDING below",IF(ISNUMBER(SEARCH("Polynomial",in_stress_input)),"Section FOURTH-ORDER POLYNOMIAL below",IF(ISNUMBER(SEARCH("profile",in_stress_input)),"Sheet 5B_Stress_Profile","Select the stress input format")))</f>
        <v>Section FOURTH-ORDER POLYNOMIAL below</v>
      </c>
      <c r="C10" s="24"/>
      <c r="D10" s="25"/>
      <c r="E10" s="30" t="s">
        <v>82</v>
      </c>
    </row>
    <row r="11" customFormat="false" ht="15" hidden="false" customHeight="false" outlineLevel="0" collapsed="false">
      <c r="A11" s="28" t="s">
        <v>279</v>
      </c>
      <c r="B11" s="31" t="str">
        <f aca="false">IF(AND(calc_sif="KPSCL1",ISNUMBER(SEARCH("profile",in_stress_input))),"NOT VALID - a point profile needs the Arbitrary distribution (KPSCL2)","OK")</f>
        <v>OK</v>
      </c>
      <c r="C11" s="24"/>
      <c r="D11" s="25"/>
      <c r="E11" s="30" t="s">
        <v>82</v>
      </c>
    </row>
    <row r="12" customFormat="false" ht="19.5" hidden="false" customHeight="true" outlineLevel="0" collapsed="false">
      <c r="A12" s="54" t="s">
        <v>280</v>
      </c>
      <c r="B12" s="54"/>
      <c r="C12" s="54"/>
      <c r="D12" s="54"/>
      <c r="E12" s="54"/>
    </row>
    <row r="13" customFormat="false" ht="15" hidden="false" customHeight="false" outlineLevel="0" collapsed="false">
      <c r="A13" s="16" t="s">
        <v>281</v>
      </c>
      <c r="B13" s="40" t="n">
        <f aca="false">IF(UNIT_SYSTEM="SI",120,17.4045285276251)</f>
        <v>120</v>
      </c>
      <c r="C13" s="24" t="str">
        <f aca="false">IF(UNIT_SYSTEM="SI","MPa","ksi")</f>
        <v>MPa</v>
      </c>
      <c r="D13" s="25"/>
      <c r="E13" s="26" t="s">
        <v>73</v>
      </c>
    </row>
    <row r="14" customFormat="false" ht="15" hidden="false" customHeight="false" outlineLevel="0" collapsed="false">
      <c r="A14" s="16" t="s">
        <v>282</v>
      </c>
      <c r="B14" s="23" t="n">
        <f aca="false">IF(UNIT_SYSTEM="SI",30,4.35113213190628)</f>
        <v>30</v>
      </c>
      <c r="C14" s="24" t="str">
        <f aca="false">IF(UNIT_SYSTEM="SI","MPa","ksi")</f>
        <v>MPa</v>
      </c>
      <c r="D14" s="25"/>
      <c r="E14" s="26" t="s">
        <v>73</v>
      </c>
    </row>
    <row r="15" customFormat="false" ht="15" hidden="false" customHeight="false" outlineLevel="0" collapsed="false">
      <c r="A15" s="16" t="s">
        <v>283</v>
      </c>
      <c r="B15" s="23" t="n">
        <f aca="false">IF(UNIT_SYSTEM="SI",20,2.90075475460418)</f>
        <v>20</v>
      </c>
      <c r="C15" s="24" t="str">
        <f aca="false">IF(UNIT_SYSTEM="SI","MPa","ksi")</f>
        <v>MPa</v>
      </c>
      <c r="D15" s="25"/>
      <c r="E15" s="26" t="s">
        <v>73</v>
      </c>
    </row>
    <row r="16" customFormat="false" ht="15" hidden="false" customHeight="false" outlineLevel="0" collapsed="false">
      <c r="A16" s="16" t="s">
        <v>284</v>
      </c>
      <c r="B16" s="23" t="n">
        <f aca="false">IF(UNIT_SYSTEM="SI",10,1.45037737730209)</f>
        <v>10</v>
      </c>
      <c r="C16" s="24" t="str">
        <f aca="false">IF(UNIT_SYSTEM="SI","MPa","ksi")</f>
        <v>MPa</v>
      </c>
      <c r="D16" s="25"/>
      <c r="E16" s="26" t="s">
        <v>73</v>
      </c>
    </row>
    <row r="17" customFormat="false" ht="19.5" hidden="false" customHeight="true" outlineLevel="0" collapsed="false">
      <c r="A17" s="54" t="s">
        <v>285</v>
      </c>
      <c r="B17" s="54"/>
      <c r="C17" s="54"/>
      <c r="D17" s="54"/>
      <c r="E17" s="54"/>
    </row>
    <row r="18" customFormat="false" ht="15" hidden="false" customHeight="false" outlineLevel="0" collapsed="false">
      <c r="A18" s="16" t="s">
        <v>286</v>
      </c>
      <c r="B18" s="40" t="n">
        <f aca="false">IF(UNIT_SYSTEM="SI",150,21.7556606595314)</f>
        <v>150</v>
      </c>
      <c r="C18" s="24" t="str">
        <f aca="false">IF(UNIT_SYSTEM="SI","MPa","ksi")</f>
        <v>MPa</v>
      </c>
      <c r="D18" s="25"/>
      <c r="E18" s="26" t="s">
        <v>73</v>
      </c>
    </row>
    <row r="19" customFormat="false" ht="15" hidden="false" customHeight="false" outlineLevel="0" collapsed="false">
      <c r="A19" s="16" t="s">
        <v>287</v>
      </c>
      <c r="B19" s="23" t="n">
        <f aca="false">IF(UNIT_SYSTEM="SI",-60,-8.70226426381255)</f>
        <v>-60</v>
      </c>
      <c r="C19" s="24" t="str">
        <f aca="false">IF(UNIT_SYSTEM="SI","MPa","ksi")</f>
        <v>MPa</v>
      </c>
      <c r="D19" s="25"/>
      <c r="E19" s="26" t="s">
        <v>73</v>
      </c>
    </row>
    <row r="20" customFormat="false" ht="15" hidden="false" customHeight="false" outlineLevel="0" collapsed="false">
      <c r="A20" s="16" t="s">
        <v>288</v>
      </c>
      <c r="B20" s="23" t="n">
        <v>0</v>
      </c>
      <c r="C20" s="24" t="str">
        <f aca="false">IF(UNIT_SYSTEM="SI","MPa","ksi")</f>
        <v>MPa</v>
      </c>
      <c r="D20" s="25"/>
      <c r="E20" s="26" t="s">
        <v>73</v>
      </c>
    </row>
    <row r="21" customFormat="false" ht="15" hidden="false" customHeight="false" outlineLevel="0" collapsed="false">
      <c r="A21" s="16" t="s">
        <v>289</v>
      </c>
      <c r="B21" s="23" t="n">
        <v>0</v>
      </c>
      <c r="C21" s="24" t="str">
        <f aca="false">IF(UNIT_SYSTEM="SI","MPa","ksi")</f>
        <v>MPa</v>
      </c>
      <c r="D21" s="25"/>
      <c r="E21" s="26" t="s">
        <v>73</v>
      </c>
    </row>
    <row r="22" customFormat="false" ht="15" hidden="false" customHeight="false" outlineLevel="0" collapsed="false">
      <c r="A22" s="16" t="s">
        <v>290</v>
      </c>
      <c r="B22" s="23" t="n">
        <v>0</v>
      </c>
      <c r="C22" s="24" t="str">
        <f aca="false">IF(UNIT_SYSTEM="SI","MPa","ksi")</f>
        <v>MPa</v>
      </c>
      <c r="D22" s="25"/>
      <c r="E22" s="26" t="s">
        <v>73</v>
      </c>
    </row>
    <row r="23" customFormat="false" ht="15" hidden="false" customHeight="false" outlineLevel="0" collapsed="false">
      <c r="A23" s="16" t="s">
        <v>291</v>
      </c>
      <c r="B23" s="23" t="n">
        <f aca="false">IF(UNIT_SYSTEM="SI",30,4.35113213190628)</f>
        <v>30</v>
      </c>
      <c r="C23" s="24" t="str">
        <f aca="false">IF(UNIT_SYSTEM="SI","MPa","ksi")</f>
        <v>MPa</v>
      </c>
      <c r="D23" s="25"/>
      <c r="E23" s="26" t="s">
        <v>73</v>
      </c>
    </row>
    <row r="24" customFormat="false" ht="15" hidden="false" customHeight="false" outlineLevel="0" collapsed="false">
      <c r="A24" s="16" t="s">
        <v>292</v>
      </c>
      <c r="B24" s="23" t="n">
        <f aca="false">IF(UNIT_SYSTEM="SI",-20,-2.90075475460418)</f>
        <v>-20</v>
      </c>
      <c r="C24" s="24" t="str">
        <f aca="false">IF(UNIT_SYSTEM="SI","MPa","ksi")</f>
        <v>MPa</v>
      </c>
      <c r="D24" s="25"/>
      <c r="E24" s="26" t="s">
        <v>73</v>
      </c>
    </row>
    <row r="25" customFormat="false" ht="15" hidden="false" customHeight="false" outlineLevel="0" collapsed="false">
      <c r="A25" s="16" t="s">
        <v>293</v>
      </c>
      <c r="B25" s="23" t="n">
        <v>0</v>
      </c>
      <c r="C25" s="24" t="str">
        <f aca="false">IF(UNIT_SYSTEM="SI","MPa","ksi")</f>
        <v>MPa</v>
      </c>
      <c r="D25" s="25"/>
      <c r="E25" s="26" t="s">
        <v>73</v>
      </c>
    </row>
    <row r="26" customFormat="false" ht="15" hidden="false" customHeight="false" outlineLevel="0" collapsed="false">
      <c r="A26" s="16" t="s">
        <v>294</v>
      </c>
      <c r="B26" s="23" t="n">
        <v>0</v>
      </c>
      <c r="C26" s="24" t="str">
        <f aca="false">IF(UNIT_SYSTEM="SI","MPa","ksi")</f>
        <v>MPa</v>
      </c>
      <c r="D26" s="25"/>
      <c r="E26" s="26" t="s">
        <v>73</v>
      </c>
    </row>
    <row r="27" customFormat="false" ht="15" hidden="false" customHeight="false" outlineLevel="0" collapsed="false">
      <c r="A27" s="16" t="s">
        <v>295</v>
      </c>
      <c r="B27" s="23" t="n">
        <v>0</v>
      </c>
      <c r="C27" s="24" t="str">
        <f aca="false">IF(UNIT_SYSTEM="SI","MPa","ksi")</f>
        <v>MPa</v>
      </c>
      <c r="D27" s="25"/>
      <c r="E27" s="26" t="s">
        <v>73</v>
      </c>
    </row>
    <row r="28" customFormat="false" ht="15" hidden="false" customHeight="false" outlineLevel="0" collapsed="false">
      <c r="A28" s="28" t="s">
        <v>296</v>
      </c>
      <c r="B28" s="29" t="n">
        <f aca="false">in_P0+in_P1/2+in_P2/3+in_P3/4+in_P4/5</f>
        <v>120</v>
      </c>
      <c r="C28" s="24" t="str">
        <f aca="false">IF(UNIT_SYSTEM="SI","MPa","ksi")</f>
        <v>MPa</v>
      </c>
      <c r="D28" s="25" t="s">
        <v>297</v>
      </c>
      <c r="E28" s="30" t="s">
        <v>82</v>
      </c>
    </row>
    <row r="29" customFormat="false" ht="15" hidden="false" customHeight="false" outlineLevel="0" collapsed="false">
      <c r="A29" s="28" t="s">
        <v>298</v>
      </c>
      <c r="B29" s="29" t="n">
        <f aca="false">-in_P1/2-in_P2/2-9*in_P3/20-6*in_P4/15</f>
        <v>30</v>
      </c>
      <c r="C29" s="24" t="str">
        <f aca="false">IF(UNIT_SYSTEM="SI","MPa","ksi")</f>
        <v>MPa</v>
      </c>
      <c r="D29" s="25" t="s">
        <v>299</v>
      </c>
      <c r="E29" s="30" t="s">
        <v>82</v>
      </c>
    </row>
    <row r="30" customFormat="false" ht="15" hidden="false" customHeight="false" outlineLevel="0" collapsed="false">
      <c r="A30" s="28" t="s">
        <v>300</v>
      </c>
      <c r="B30" s="29" t="n">
        <f aca="false">in_Q0+in_Q1/2+in_Q2/3+in_Q3/4+in_Q4/5</f>
        <v>20</v>
      </c>
      <c r="C30" s="24" t="str">
        <f aca="false">IF(UNIT_SYSTEM="SI","MPa","ksi")</f>
        <v>MPa</v>
      </c>
      <c r="D30" s="25" t="s">
        <v>297</v>
      </c>
      <c r="E30" s="30" t="s">
        <v>82</v>
      </c>
    </row>
    <row r="31" customFormat="false" ht="15" hidden="false" customHeight="false" outlineLevel="0" collapsed="false">
      <c r="A31" s="28" t="s">
        <v>301</v>
      </c>
      <c r="B31" s="29" t="n">
        <f aca="false">-in_Q1/2-in_Q2/2-9*in_Q3/20-6*in_Q4/15</f>
        <v>10</v>
      </c>
      <c r="C31" s="24" t="str">
        <f aca="false">IF(UNIT_SYSTEM="SI","MPa","ksi")</f>
        <v>MPa</v>
      </c>
      <c r="D31" s="25" t="s">
        <v>299</v>
      </c>
      <c r="E31" s="30" t="s">
        <v>82</v>
      </c>
    </row>
    <row r="32" customFormat="false" ht="19.5" hidden="false" customHeight="true" outlineLevel="0" collapsed="false">
      <c r="A32" s="54" t="s">
        <v>302</v>
      </c>
      <c r="B32" s="54"/>
      <c r="C32" s="54"/>
      <c r="D32" s="54"/>
      <c r="E32" s="54"/>
    </row>
    <row r="33" customFormat="false" ht="15" hidden="false" customHeight="false" outlineLevel="0" collapsed="false">
      <c r="A33" s="16" t="s">
        <v>303</v>
      </c>
      <c r="B33" s="23" t="n">
        <v>0</v>
      </c>
      <c r="C33" s="24" t="str">
        <f aca="false">IF(UNIT_SYSTEM="SI","MPa","ksi")</f>
        <v>MPa</v>
      </c>
      <c r="D33" s="25"/>
      <c r="E33" s="26" t="s">
        <v>73</v>
      </c>
    </row>
    <row r="34" customFormat="false" ht="15" hidden="false" customHeight="false" outlineLevel="0" collapsed="false">
      <c r="A34" s="16" t="s">
        <v>304</v>
      </c>
      <c r="B34" s="27" t="s">
        <v>305</v>
      </c>
      <c r="C34" s="24" t="s">
        <v>84</v>
      </c>
      <c r="D34" s="25" t="s">
        <v>306</v>
      </c>
      <c r="E34" s="26" t="s">
        <v>73</v>
      </c>
    </row>
  </sheetData>
  <mergeCells count="6">
    <mergeCell ref="A1:E1"/>
    <mergeCell ref="A2:E2"/>
    <mergeCell ref="A4:E4"/>
    <mergeCell ref="A12:E12"/>
    <mergeCell ref="A17:E17"/>
    <mergeCell ref="A32:E32"/>
  </mergeCells>
  <conditionalFormatting sqref="B11">
    <cfRule type="cellIs" priority="2" operator="equal" aboveAverage="0" equalAverage="0" bottom="0" percent="0" rank="0" text="" dxfId="0">
      <formula>"OK"</formula>
    </cfRule>
    <cfRule type="cellIs" priority="3" operator="notEqual" aboveAverage="0" equalAverage="0" bottom="0" percent="0" rank="0" text="" dxfId="1">
      <formula>"OK"</formula>
    </cfRule>
  </conditionalFormatting>
  <conditionalFormatting sqref="A12:E16">
    <cfRule type="expression" priority="4" aboveAverage="0" equalAverage="0" bottom="0" percent="0" rank="0" text="" dxfId="3">
      <formula>NOT(ISNUMBER(SEARCH("Membrane",in_stress_input)))</formula>
    </cfRule>
  </conditionalFormatting>
  <conditionalFormatting sqref="A17:E27">
    <cfRule type="expression" priority="5" aboveAverage="0" equalAverage="0" bottom="0" percent="0" rank="0" text="" dxfId="3">
      <formula>NOT(ISNUMBER(SEARCH("Polynomial",in_stress_input)))</formula>
    </cfRule>
  </conditionalFormatting>
  <dataValidations count="3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L_STRESS_DIST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6" type="list">
      <formula1>INDIRECT("L_STRESS_INPUT_"&amp;calc_sif)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34" type="list">
      <formula1>L_YES_NO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E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6"/>
    <col collapsed="false" customWidth="true" hidden="false" outlineLevel="0" max="5" min="5" style="0" width="10"/>
  </cols>
  <sheetData>
    <row r="1" customFormat="false" ht="25.5" hidden="false" customHeight="true" outlineLevel="0" collapsed="false">
      <c r="A1" s="52" t="str">
        <f aca="false">"THROUGH-WALL STRESS PROFILE  -  ARBITRARY DISTRIBUTION  ("&amp;UNIT_SYSTEM&amp;" UNITS)"</f>
        <v>THROUGH-WALL STRESS PROFILE  -  ARBITRARY DISTRIBUTION  (SI UNITS)</v>
      </c>
      <c r="B1" s="52"/>
      <c r="C1" s="52"/>
      <c r="D1" s="52"/>
      <c r="E1" s="52"/>
    </row>
    <row r="2" customFormat="false" ht="39.75" hidden="false" customHeight="true" outlineLevel="0" collapsed="false">
      <c r="A2" s="32" t="s">
        <v>307</v>
      </c>
      <c r="B2" s="32"/>
      <c r="C2" s="32"/>
      <c r="D2" s="32"/>
      <c r="E2" s="32"/>
    </row>
    <row r="3" customFormat="false" ht="15" hidden="false" customHeight="false" outlineLevel="0" collapsed="false">
      <c r="A3" s="53" t="str">
        <f aca="false">IF(UNIT_SYSTEM="SI","x (mm)","x (in)")</f>
        <v>x (mm)</v>
      </c>
      <c r="B3" s="53" t="str">
        <f aca="false">IF(UNIT_SYSTEM="SI","Primary (MPa)","Primary (ksi)")</f>
        <v>Primary (MPa)</v>
      </c>
      <c r="C3" s="53" t="str">
        <f aca="false">IF(UNIT_SYSTEM="SI","Secondary (MPa)","Secondary (ksi)")</f>
        <v>Secondary (MPa)</v>
      </c>
      <c r="D3" s="53" t="str">
        <f aca="false">IF(UNIT_SYSTEM="SI","Residual (MPa)","Residual (ksi)")</f>
        <v>Residual (MPa)</v>
      </c>
      <c r="E3" s="53" t="s">
        <v>308</v>
      </c>
    </row>
    <row r="4" customFormat="false" ht="15" hidden="false" customHeight="false" outlineLevel="0" collapsed="false">
      <c r="A4" s="56" t="n">
        <f aca="false">IF(UNIT_SYSTEM="SI",0,0)</f>
        <v>0</v>
      </c>
      <c r="B4" s="56" t="n">
        <f aca="false">IF(UNIT_SYSTEM="SI",150,21.7556606595314)</f>
        <v>150</v>
      </c>
      <c r="C4" s="56" t="n">
        <f aca="false">IF(UNIT_SYSTEM="SI",30,4.35113213190628)</f>
        <v>30</v>
      </c>
      <c r="D4" s="56" t="n">
        <f aca="false">IF(UNIT_SYSTEM="SI",20,2.90075475460418)</f>
        <v>20</v>
      </c>
      <c r="E4" s="57" t="n">
        <f aca="false">IF(ISNUMBER(A4),A4/in_t,"")</f>
        <v>0</v>
      </c>
    </row>
    <row r="5" customFormat="false" ht="15" hidden="false" customHeight="false" outlineLevel="0" collapsed="false">
      <c r="A5" s="56" t="n">
        <f aca="false">IF(UNIT_SYSTEM="SI",2,0.078740157480315)</f>
        <v>2</v>
      </c>
      <c r="B5" s="56" t="n">
        <f aca="false">IF(UNIT_SYSTEM="SI",144,20.8854342331501)</f>
        <v>144</v>
      </c>
      <c r="C5" s="56" t="n">
        <f aca="false">IF(UNIT_SYSTEM="SI",28,4.06105665644586)</f>
        <v>28</v>
      </c>
      <c r="D5" s="56" t="n">
        <f aca="false">IF(UNIT_SYSTEM="SI",19,2.75571701687398)</f>
        <v>19</v>
      </c>
      <c r="E5" s="57" t="n">
        <f aca="false">IF(ISNUMBER(A5),A5/in_t,"")</f>
        <v>0.1</v>
      </c>
    </row>
    <row r="6" customFormat="false" ht="15" hidden="false" customHeight="false" outlineLevel="0" collapsed="false">
      <c r="A6" s="56" t="n">
        <f aca="false">IF(UNIT_SYSTEM="SI",4,0.15748031496063)</f>
        <v>4</v>
      </c>
      <c r="B6" s="56" t="n">
        <f aca="false">IF(UNIT_SYSTEM="SI",138,20.0152078067689)</f>
        <v>138</v>
      </c>
      <c r="C6" s="56" t="n">
        <f aca="false">IF(UNIT_SYSTEM="SI",26,3.77098118098544)</f>
        <v>26</v>
      </c>
      <c r="D6" s="56" t="n">
        <f aca="false">IF(UNIT_SYSTEM="SI",18,2.61067927914377)</f>
        <v>18</v>
      </c>
      <c r="E6" s="57" t="n">
        <f aca="false">IF(ISNUMBER(A6),A6/in_t,"")</f>
        <v>0.2</v>
      </c>
    </row>
    <row r="7" customFormat="false" ht="15" hidden="false" customHeight="false" outlineLevel="0" collapsed="false">
      <c r="A7" s="56" t="n">
        <f aca="false">IF(UNIT_SYSTEM="SI",6,0.236220472440945)</f>
        <v>6</v>
      </c>
      <c r="B7" s="56" t="n">
        <f aca="false">IF(UNIT_SYSTEM="SI",132,19.1449813803876)</f>
        <v>132</v>
      </c>
      <c r="C7" s="56" t="n">
        <f aca="false">IF(UNIT_SYSTEM="SI",24,3.48090570552502)</f>
        <v>24</v>
      </c>
      <c r="D7" s="56" t="n">
        <f aca="false">IF(UNIT_SYSTEM="SI",17,2.46564154141356)</f>
        <v>17</v>
      </c>
      <c r="E7" s="57" t="n">
        <f aca="false">IF(ISNUMBER(A7),A7/in_t,"")</f>
        <v>0.3</v>
      </c>
    </row>
    <row r="8" customFormat="false" ht="15" hidden="false" customHeight="false" outlineLevel="0" collapsed="false">
      <c r="A8" s="56" t="n">
        <f aca="false">IF(UNIT_SYSTEM="SI",8,0.31496062992126)</f>
        <v>8</v>
      </c>
      <c r="B8" s="56" t="n">
        <f aca="false">IF(UNIT_SYSTEM="SI",126,18.2747549540064)</f>
        <v>126</v>
      </c>
      <c r="C8" s="56" t="n">
        <f aca="false">IF(UNIT_SYSTEM="SI",22,3.1908302300646)</f>
        <v>22</v>
      </c>
      <c r="D8" s="56" t="n">
        <f aca="false">IF(UNIT_SYSTEM="SI",16,2.32060380368335)</f>
        <v>16</v>
      </c>
      <c r="E8" s="57" t="n">
        <f aca="false">IF(ISNUMBER(A8),A8/in_t,"")</f>
        <v>0.4</v>
      </c>
    </row>
    <row r="9" customFormat="false" ht="15" hidden="false" customHeight="false" outlineLevel="0" collapsed="false">
      <c r="A9" s="56" t="n">
        <f aca="false">IF(UNIT_SYSTEM="SI",10,0.393700787401575)</f>
        <v>10</v>
      </c>
      <c r="B9" s="56" t="n">
        <f aca="false">IF(UNIT_SYSTEM="SI",120,17.4045285276251)</f>
        <v>120</v>
      </c>
      <c r="C9" s="56" t="n">
        <f aca="false">IF(UNIT_SYSTEM="SI",20,2.90075475460418)</f>
        <v>20</v>
      </c>
      <c r="D9" s="56" t="n">
        <f aca="false">IF(UNIT_SYSTEM="SI",15,2.17556606595314)</f>
        <v>15</v>
      </c>
      <c r="E9" s="57" t="n">
        <f aca="false">IF(ISNUMBER(A9),A9/in_t,"")</f>
        <v>0.5</v>
      </c>
    </row>
    <row r="10" customFormat="false" ht="15" hidden="false" customHeight="false" outlineLevel="0" collapsed="false">
      <c r="A10" s="56" t="n">
        <f aca="false">IF(UNIT_SYSTEM="SI",12,0.47244094488189)</f>
        <v>12</v>
      </c>
      <c r="B10" s="56" t="n">
        <f aca="false">IF(UNIT_SYSTEM="SI",114,16.5343021012439)</f>
        <v>114</v>
      </c>
      <c r="C10" s="56" t="n">
        <f aca="false">IF(UNIT_SYSTEM="SI",18,2.61067927914377)</f>
        <v>18</v>
      </c>
      <c r="D10" s="56" t="n">
        <f aca="false">IF(UNIT_SYSTEM="SI",14,2.03052832822293)</f>
        <v>14</v>
      </c>
      <c r="E10" s="57" t="n">
        <f aca="false">IF(ISNUMBER(A10),A10/in_t,"")</f>
        <v>0.6</v>
      </c>
    </row>
    <row r="11" customFormat="false" ht="15" hidden="false" customHeight="false" outlineLevel="0" collapsed="false">
      <c r="A11" s="56" t="n">
        <f aca="false">IF(UNIT_SYSTEM="SI",14,0.551181102362205)</f>
        <v>14</v>
      </c>
      <c r="B11" s="56" t="n">
        <f aca="false">IF(UNIT_SYSTEM="SI",108,15.6640756748626)</f>
        <v>108</v>
      </c>
      <c r="C11" s="56" t="n">
        <f aca="false">IF(UNIT_SYSTEM="SI",16,2.32060380368335)</f>
        <v>16</v>
      </c>
      <c r="D11" s="56" t="n">
        <f aca="false">IF(UNIT_SYSTEM="SI",13,1.88549059049272)</f>
        <v>13</v>
      </c>
      <c r="E11" s="57" t="n">
        <f aca="false">IF(ISNUMBER(A11),A11/in_t,"")</f>
        <v>0.7</v>
      </c>
    </row>
    <row r="12" customFormat="false" ht="15" hidden="false" customHeight="false" outlineLevel="0" collapsed="false">
      <c r="A12" s="56" t="n">
        <f aca="false">IF(UNIT_SYSTEM="SI",16,0.62992125984252)</f>
        <v>16</v>
      </c>
      <c r="B12" s="56" t="n">
        <f aca="false">IF(UNIT_SYSTEM="SI",102,14.7938492484813)</f>
        <v>102</v>
      </c>
      <c r="C12" s="56" t="n">
        <f aca="false">IF(UNIT_SYSTEM="SI",14,2.03052832822293)</f>
        <v>14</v>
      </c>
      <c r="D12" s="56" t="n">
        <f aca="false">IF(UNIT_SYSTEM="SI",12,1.74045285276251)</f>
        <v>12</v>
      </c>
      <c r="E12" s="57" t="n">
        <f aca="false">IF(ISNUMBER(A12),A12/in_t,"")</f>
        <v>0.8</v>
      </c>
    </row>
    <row r="13" customFormat="false" ht="15" hidden="false" customHeight="false" outlineLevel="0" collapsed="false">
      <c r="A13" s="56" t="n">
        <f aca="false">IF(UNIT_SYSTEM="SI",18,0.708661417322835)</f>
        <v>18</v>
      </c>
      <c r="B13" s="56" t="n">
        <f aca="false">IF(UNIT_SYSTEM="SI",96,13.9236228221001)</f>
        <v>96</v>
      </c>
      <c r="C13" s="56" t="n">
        <f aca="false">IF(UNIT_SYSTEM="SI",12,1.74045285276251)</f>
        <v>12</v>
      </c>
      <c r="D13" s="56" t="n">
        <f aca="false">IF(UNIT_SYSTEM="SI",11,1.5954151150323)</f>
        <v>11</v>
      </c>
      <c r="E13" s="57" t="n">
        <f aca="false">IF(ISNUMBER(A13),A13/in_t,"")</f>
        <v>0.9</v>
      </c>
    </row>
    <row r="14" customFormat="false" ht="15" hidden="false" customHeight="false" outlineLevel="0" collapsed="false">
      <c r="A14" s="56" t="n">
        <f aca="false">IF(UNIT_SYSTEM="SI",20,0.78740157480315)</f>
        <v>20</v>
      </c>
      <c r="B14" s="56" t="n">
        <f aca="false">IF(UNIT_SYSTEM="SI",90,13.0533963957188)</f>
        <v>90</v>
      </c>
      <c r="C14" s="56" t="n">
        <f aca="false">IF(UNIT_SYSTEM="SI",10,1.45037737730209)</f>
        <v>10</v>
      </c>
      <c r="D14" s="56" t="n">
        <f aca="false">IF(UNIT_SYSTEM="SI",10,1.45037737730209)</f>
        <v>10</v>
      </c>
      <c r="E14" s="57" t="n">
        <f aca="false">IF(ISNUMBER(A14),A14/in_t,"")</f>
        <v>1</v>
      </c>
    </row>
    <row r="15" customFormat="false" ht="15" hidden="false" customHeight="false" outlineLevel="0" collapsed="false">
      <c r="A15" s="56"/>
      <c r="B15" s="56"/>
      <c r="C15" s="56"/>
      <c r="D15" s="56"/>
      <c r="E15" s="57" t="str">
        <f aca="false">IF(ISNUMBER(A15),A15/in_t,"")</f>
        <v/>
      </c>
    </row>
    <row r="16" customFormat="false" ht="15" hidden="false" customHeight="false" outlineLevel="0" collapsed="false">
      <c r="A16" s="56"/>
      <c r="B16" s="56"/>
      <c r="C16" s="56"/>
      <c r="D16" s="56"/>
      <c r="E16" s="57" t="str">
        <f aca="false">IF(ISNUMBER(A16),A16/in_t,"")</f>
        <v/>
      </c>
    </row>
    <row r="17" customFormat="false" ht="15" hidden="false" customHeight="false" outlineLevel="0" collapsed="false">
      <c r="A17" s="56"/>
      <c r="B17" s="56"/>
      <c r="C17" s="56"/>
      <c r="D17" s="56"/>
      <c r="E17" s="57" t="str">
        <f aca="false">IF(ISNUMBER(A17),A17/in_t,"")</f>
        <v/>
      </c>
    </row>
    <row r="18" customFormat="false" ht="15" hidden="false" customHeight="false" outlineLevel="0" collapsed="false">
      <c r="A18" s="56"/>
      <c r="B18" s="56"/>
      <c r="C18" s="56"/>
      <c r="D18" s="56"/>
      <c r="E18" s="57" t="str">
        <f aca="false">IF(ISNUMBER(A18),A18/in_t,"")</f>
        <v/>
      </c>
    </row>
    <row r="19" customFormat="false" ht="15" hidden="false" customHeight="false" outlineLevel="0" collapsed="false">
      <c r="A19" s="56"/>
      <c r="B19" s="56"/>
      <c r="C19" s="56"/>
      <c r="D19" s="56"/>
      <c r="E19" s="57" t="str">
        <f aca="false">IF(ISNUMBER(A19),A19/in_t,"")</f>
        <v/>
      </c>
    </row>
    <row r="20" customFormat="false" ht="15" hidden="false" customHeight="false" outlineLevel="0" collapsed="false">
      <c r="A20" s="56"/>
      <c r="B20" s="56"/>
      <c r="C20" s="56"/>
      <c r="D20" s="56"/>
      <c r="E20" s="57" t="str">
        <f aca="false">IF(ISNUMBER(A20),A20/in_t,"")</f>
        <v/>
      </c>
    </row>
    <row r="21" customFormat="false" ht="15" hidden="false" customHeight="false" outlineLevel="0" collapsed="false">
      <c r="A21" s="56"/>
      <c r="B21" s="56"/>
      <c r="C21" s="56"/>
      <c r="D21" s="56"/>
      <c r="E21" s="57" t="str">
        <f aca="false">IF(ISNUMBER(A21),A21/in_t,"")</f>
        <v/>
      </c>
    </row>
    <row r="22" customFormat="false" ht="15" hidden="false" customHeight="false" outlineLevel="0" collapsed="false">
      <c r="A22" s="56"/>
      <c r="B22" s="56"/>
      <c r="C22" s="56"/>
      <c r="D22" s="56"/>
      <c r="E22" s="57" t="str">
        <f aca="false">IF(ISNUMBER(A22),A22/in_t,"")</f>
        <v/>
      </c>
    </row>
    <row r="23" customFormat="false" ht="15" hidden="false" customHeight="false" outlineLevel="0" collapsed="false">
      <c r="A23" s="56"/>
      <c r="B23" s="56"/>
      <c r="C23" s="56"/>
      <c r="D23" s="56"/>
      <c r="E23" s="57" t="str">
        <f aca="false">IF(ISNUMBER(A23),A23/in_t,"")</f>
        <v/>
      </c>
    </row>
    <row r="24" customFormat="false" ht="15" hidden="false" customHeight="false" outlineLevel="0" collapsed="false">
      <c r="A24" s="56"/>
      <c r="B24" s="56"/>
      <c r="C24" s="56"/>
      <c r="D24" s="56"/>
      <c r="E24" s="57" t="str">
        <f aca="false">IF(ISNUMBER(A24),A24/in_t,"")</f>
        <v/>
      </c>
    </row>
    <row r="25" customFormat="false" ht="15" hidden="false" customHeight="false" outlineLevel="0" collapsed="false">
      <c r="A25" s="56"/>
      <c r="B25" s="56"/>
      <c r="C25" s="56"/>
      <c r="D25" s="56"/>
      <c r="E25" s="57" t="str">
        <f aca="false">IF(ISNUMBER(A25),A25/in_t,"")</f>
        <v/>
      </c>
    </row>
    <row r="26" customFormat="false" ht="15" hidden="false" customHeight="false" outlineLevel="0" collapsed="false">
      <c r="A26" s="56"/>
      <c r="B26" s="56"/>
      <c r="C26" s="56"/>
      <c r="D26" s="56"/>
      <c r="E26" s="57" t="str">
        <f aca="false">IF(ISNUMBER(A26),A26/in_t,"")</f>
        <v/>
      </c>
    </row>
    <row r="27" customFormat="false" ht="15" hidden="false" customHeight="false" outlineLevel="0" collapsed="false">
      <c r="A27" s="56"/>
      <c r="B27" s="56"/>
      <c r="C27" s="56"/>
      <c r="D27" s="56"/>
      <c r="E27" s="57" t="str">
        <f aca="false">IF(ISNUMBER(A27),A27/in_t,"")</f>
        <v/>
      </c>
    </row>
    <row r="28" customFormat="false" ht="15" hidden="false" customHeight="false" outlineLevel="0" collapsed="false">
      <c r="A28" s="56"/>
      <c r="B28" s="56"/>
      <c r="C28" s="56"/>
      <c r="D28" s="56"/>
      <c r="E28" s="57" t="str">
        <f aca="false">IF(ISNUMBER(A28),A28/in_t,"")</f>
        <v/>
      </c>
    </row>
    <row r="29" customFormat="false" ht="15" hidden="false" customHeight="false" outlineLevel="0" collapsed="false">
      <c r="A29" s="56"/>
      <c r="B29" s="56"/>
      <c r="C29" s="56"/>
      <c r="D29" s="56"/>
      <c r="E29" s="57" t="str">
        <f aca="false">IF(ISNUMBER(A29),A29/in_t,"")</f>
        <v/>
      </c>
    </row>
    <row r="30" customFormat="false" ht="15" hidden="false" customHeight="false" outlineLevel="0" collapsed="false">
      <c r="A30" s="56"/>
      <c r="B30" s="56"/>
      <c r="C30" s="56"/>
      <c r="D30" s="56"/>
      <c r="E30" s="57" t="str">
        <f aca="false">IF(ISNUMBER(A30),A30/in_t,"")</f>
        <v/>
      </c>
    </row>
    <row r="31" customFormat="false" ht="15" hidden="false" customHeight="false" outlineLevel="0" collapsed="false">
      <c r="A31" s="56"/>
      <c r="B31" s="56"/>
      <c r="C31" s="56"/>
      <c r="D31" s="56"/>
      <c r="E31" s="57" t="str">
        <f aca="false">IF(ISNUMBER(A31),A31/in_t,"")</f>
        <v/>
      </c>
    </row>
    <row r="32" customFormat="false" ht="15" hidden="false" customHeight="false" outlineLevel="0" collapsed="false">
      <c r="A32" s="56"/>
      <c r="B32" s="56"/>
      <c r="C32" s="56"/>
      <c r="D32" s="56"/>
      <c r="E32" s="57" t="str">
        <f aca="false">IF(ISNUMBER(A32),A32/in_t,"")</f>
        <v/>
      </c>
    </row>
    <row r="33" customFormat="false" ht="15" hidden="false" customHeight="false" outlineLevel="0" collapsed="false">
      <c r="A33" s="56"/>
      <c r="B33" s="56"/>
      <c r="C33" s="56"/>
      <c r="D33" s="56"/>
      <c r="E33" s="57" t="str">
        <f aca="false">IF(ISNUMBER(A33),A33/in_t,"")</f>
        <v/>
      </c>
    </row>
    <row r="34" customFormat="false" ht="15" hidden="false" customHeight="false" outlineLevel="0" collapsed="false">
      <c r="A34" s="56"/>
      <c r="B34" s="56"/>
      <c r="C34" s="56"/>
      <c r="D34" s="56"/>
      <c r="E34" s="57" t="str">
        <f aca="false">IF(ISNUMBER(A34),A34/in_t,"")</f>
        <v/>
      </c>
    </row>
    <row r="35" customFormat="false" ht="15" hidden="false" customHeight="false" outlineLevel="0" collapsed="false">
      <c r="A35" s="56"/>
      <c r="B35" s="56"/>
      <c r="C35" s="56"/>
      <c r="D35" s="56"/>
      <c r="E35" s="57" t="str">
        <f aca="false">IF(ISNUMBER(A35),A35/in_t,"")</f>
        <v/>
      </c>
    </row>
    <row r="36" customFormat="false" ht="15" hidden="false" customHeight="false" outlineLevel="0" collapsed="false">
      <c r="A36" s="56"/>
      <c r="B36" s="56"/>
      <c r="C36" s="56"/>
      <c r="D36" s="56"/>
      <c r="E36" s="57" t="str">
        <f aca="false">IF(ISNUMBER(A36),A36/in_t,"")</f>
        <v/>
      </c>
    </row>
    <row r="37" customFormat="false" ht="15" hidden="false" customHeight="false" outlineLevel="0" collapsed="false">
      <c r="A37" s="56"/>
      <c r="B37" s="56"/>
      <c r="C37" s="56"/>
      <c r="D37" s="56"/>
      <c r="E37" s="57" t="str">
        <f aca="false">IF(ISNUMBER(A37),A37/in_t,"")</f>
        <v/>
      </c>
    </row>
    <row r="38" customFormat="false" ht="15" hidden="false" customHeight="false" outlineLevel="0" collapsed="false">
      <c r="A38" s="56"/>
      <c r="B38" s="56"/>
      <c r="C38" s="56"/>
      <c r="D38" s="56"/>
      <c r="E38" s="57" t="str">
        <f aca="false">IF(ISNUMBER(A38),A38/in_t,"")</f>
        <v/>
      </c>
    </row>
    <row r="39" customFormat="false" ht="15" hidden="false" customHeight="false" outlineLevel="0" collapsed="false">
      <c r="A39" s="56"/>
      <c r="B39" s="56"/>
      <c r="C39" s="56"/>
      <c r="D39" s="56"/>
      <c r="E39" s="57" t="str">
        <f aca="false">IF(ISNUMBER(A39),A39/in_t,"")</f>
        <v/>
      </c>
    </row>
    <row r="40" customFormat="false" ht="15" hidden="false" customHeight="false" outlineLevel="0" collapsed="false">
      <c r="A40" s="56"/>
      <c r="B40" s="56"/>
      <c r="C40" s="56"/>
      <c r="D40" s="56"/>
      <c r="E40" s="57" t="str">
        <f aca="false">IF(ISNUMBER(A40),A40/in_t,"")</f>
        <v/>
      </c>
    </row>
    <row r="41" customFormat="false" ht="15" hidden="false" customHeight="false" outlineLevel="0" collapsed="false">
      <c r="A41" s="56"/>
      <c r="B41" s="56"/>
      <c r="C41" s="56"/>
      <c r="D41" s="56"/>
      <c r="E41" s="57" t="str">
        <f aca="false">IF(ISNUMBER(A41),A41/in_t,"")</f>
        <v/>
      </c>
    </row>
    <row r="42" customFormat="false" ht="15" hidden="false" customHeight="false" outlineLevel="0" collapsed="false">
      <c r="A42" s="56"/>
      <c r="B42" s="56"/>
      <c r="C42" s="56"/>
      <c r="D42" s="56"/>
      <c r="E42" s="57" t="str">
        <f aca="false">IF(ISNUMBER(A42),A42/in_t,"")</f>
        <v/>
      </c>
    </row>
    <row r="43" customFormat="false" ht="15" hidden="false" customHeight="false" outlineLevel="0" collapsed="false">
      <c r="A43" s="56"/>
      <c r="B43" s="56"/>
      <c r="C43" s="56"/>
      <c r="D43" s="56"/>
      <c r="E43" s="57" t="str">
        <f aca="false">IF(ISNUMBER(A43),A43/in_t,"")</f>
        <v/>
      </c>
    </row>
    <row r="44" customFormat="false" ht="15" hidden="false" customHeight="false" outlineLevel="0" collapsed="false">
      <c r="A44" s="56"/>
      <c r="B44" s="56"/>
      <c r="C44" s="56"/>
      <c r="D44" s="56"/>
      <c r="E44" s="57" t="str">
        <f aca="false">IF(ISNUMBER(A44),A44/in_t,"")</f>
        <v/>
      </c>
    </row>
    <row r="45" customFormat="false" ht="15" hidden="false" customHeight="false" outlineLevel="0" collapsed="false">
      <c r="A45" s="56"/>
      <c r="B45" s="56"/>
      <c r="C45" s="56"/>
      <c r="D45" s="56"/>
      <c r="E45" s="57" t="str">
        <f aca="false">IF(ISNUMBER(A45),A45/in_t,"")</f>
        <v/>
      </c>
    </row>
    <row r="46" customFormat="false" ht="15" hidden="false" customHeight="false" outlineLevel="0" collapsed="false">
      <c r="A46" s="56"/>
      <c r="B46" s="56"/>
      <c r="C46" s="56"/>
      <c r="D46" s="56"/>
      <c r="E46" s="57" t="str">
        <f aca="false">IF(ISNUMBER(A46),A46/in_t,"")</f>
        <v/>
      </c>
    </row>
    <row r="47" customFormat="false" ht="15" hidden="false" customHeight="false" outlineLevel="0" collapsed="false">
      <c r="A47" s="56"/>
      <c r="B47" s="56"/>
      <c r="C47" s="56"/>
      <c r="D47" s="56"/>
      <c r="E47" s="57" t="str">
        <f aca="false">IF(ISNUMBER(A47),A47/in_t,"")</f>
        <v/>
      </c>
    </row>
    <row r="48" customFormat="false" ht="15" hidden="false" customHeight="false" outlineLevel="0" collapsed="false">
      <c r="A48" s="56"/>
      <c r="B48" s="56"/>
      <c r="C48" s="56"/>
      <c r="D48" s="56"/>
      <c r="E48" s="57" t="str">
        <f aca="false">IF(ISNUMBER(A48),A48/in_t,"")</f>
        <v/>
      </c>
    </row>
    <row r="49" customFormat="false" ht="15" hidden="false" customHeight="false" outlineLevel="0" collapsed="false">
      <c r="A49" s="56"/>
      <c r="B49" s="56"/>
      <c r="C49" s="56"/>
      <c r="D49" s="56"/>
      <c r="E49" s="57" t="str">
        <f aca="false">IF(ISNUMBER(A49),A49/in_t,"")</f>
        <v/>
      </c>
    </row>
    <row r="50" customFormat="false" ht="15" hidden="false" customHeight="false" outlineLevel="0" collapsed="false">
      <c r="A50" s="56"/>
      <c r="B50" s="56"/>
      <c r="C50" s="56"/>
      <c r="D50" s="56"/>
      <c r="E50" s="57" t="str">
        <f aca="false">IF(ISNUMBER(A50),A50/in_t,"")</f>
        <v/>
      </c>
    </row>
    <row r="51" customFormat="false" ht="15" hidden="false" customHeight="false" outlineLevel="0" collapsed="false">
      <c r="A51" s="56"/>
      <c r="B51" s="56"/>
      <c r="C51" s="56"/>
      <c r="D51" s="56"/>
      <c r="E51" s="57" t="str">
        <f aca="false">IF(ISNUMBER(A51),A51/in_t,"")</f>
        <v/>
      </c>
    </row>
    <row r="52" customFormat="false" ht="15" hidden="false" customHeight="false" outlineLevel="0" collapsed="false">
      <c r="A52" s="56"/>
      <c r="B52" s="56"/>
      <c r="C52" s="56"/>
      <c r="D52" s="56"/>
      <c r="E52" s="57" t="str">
        <f aca="false">IF(ISNUMBER(A52),A52/in_t,"")</f>
        <v/>
      </c>
    </row>
    <row r="53" customFormat="false" ht="15" hidden="false" customHeight="false" outlineLevel="0" collapsed="false">
      <c r="A53" s="56"/>
      <c r="B53" s="56"/>
      <c r="C53" s="56"/>
      <c r="D53" s="56"/>
      <c r="E53" s="57" t="str">
        <f aca="false">IF(ISNUMBER(A53),A53/in_t,"")</f>
        <v/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58" t="str">
        <f aca="false">"RESIDUAL STRESS  -  KPSCL1 / KPSCL2 / RPSCL  ("&amp;UNIT_SYSTEM&amp;" UNITS)"</f>
        <v>RESIDUAL STRESS  -  KPSCL1 / KPSCL2 / RPSCL  (SI UNITS)</v>
      </c>
      <c r="B1" s="58"/>
      <c r="C1" s="58"/>
      <c r="D1" s="58"/>
      <c r="E1" s="58"/>
    </row>
    <row r="2" customFormat="false" ht="15" hidden="false" customHeight="false" outlineLevel="0" collapsed="false">
      <c r="A2" s="20" t="s">
        <v>309</v>
      </c>
      <c r="B2" s="20"/>
      <c r="C2" s="20"/>
      <c r="D2" s="20"/>
      <c r="E2" s="20"/>
    </row>
    <row r="3" customFormat="false" ht="15" hidden="false" customHeight="false" outlineLevel="0" collapsed="false">
      <c r="A3" s="59" t="s">
        <v>66</v>
      </c>
      <c r="B3" s="59" t="s">
        <v>67</v>
      </c>
      <c r="C3" s="59" t="s">
        <v>68</v>
      </c>
      <c r="D3" s="59" t="s">
        <v>69</v>
      </c>
      <c r="E3" s="59" t="s">
        <v>70</v>
      </c>
    </row>
    <row r="4" customFormat="false" ht="19.5" hidden="false" customHeight="true" outlineLevel="0" collapsed="false">
      <c r="A4" s="60" t="s">
        <v>310</v>
      </c>
      <c r="B4" s="60"/>
      <c r="C4" s="60"/>
      <c r="D4" s="60"/>
      <c r="E4" s="60"/>
    </row>
    <row r="5" customFormat="false" ht="15" hidden="false" customHeight="false" outlineLevel="0" collapsed="false">
      <c r="A5" s="16" t="s">
        <v>311</v>
      </c>
      <c r="B5" s="27" t="s">
        <v>312</v>
      </c>
      <c r="C5" s="24" t="s">
        <v>84</v>
      </c>
      <c r="D5" s="25" t="s">
        <v>313</v>
      </c>
      <c r="E5" s="26" t="s">
        <v>73</v>
      </c>
    </row>
    <row r="6" customFormat="false" ht="19.5" hidden="false" customHeight="true" outlineLevel="0" collapsed="false">
      <c r="A6" s="60" t="s">
        <v>312</v>
      </c>
      <c r="B6" s="60"/>
      <c r="C6" s="60"/>
      <c r="D6" s="60"/>
      <c r="E6" s="60"/>
    </row>
    <row r="7" customFormat="false" ht="15" hidden="false" customHeight="false" outlineLevel="0" collapsed="false">
      <c r="A7" s="16" t="s">
        <v>314</v>
      </c>
      <c r="B7" s="23" t="n">
        <f aca="false">IF(UNIT_SYSTEM="SI",15,2.17556606595314)</f>
        <v>15</v>
      </c>
      <c r="C7" s="24" t="str">
        <f aca="false">IF(UNIT_SYSTEM="SI","MPa","ksi")</f>
        <v>MPa</v>
      </c>
      <c r="D7" s="25"/>
      <c r="E7" s="26" t="s">
        <v>73</v>
      </c>
    </row>
    <row r="8" customFormat="false" ht="15" hidden="false" customHeight="false" outlineLevel="0" collapsed="false">
      <c r="A8" s="16" t="s">
        <v>315</v>
      </c>
      <c r="B8" s="23" t="n">
        <f aca="false">IF(UNIT_SYSTEM="SI",5,0.725188688651046)</f>
        <v>5</v>
      </c>
      <c r="C8" s="24" t="str">
        <f aca="false">IF(UNIT_SYSTEM="SI","MPa","ksi")</f>
        <v>MPa</v>
      </c>
      <c r="D8" s="25"/>
      <c r="E8" s="26" t="s">
        <v>73</v>
      </c>
    </row>
    <row r="9" customFormat="false" ht="19.5" hidden="false" customHeight="true" outlineLevel="0" collapsed="false">
      <c r="A9" s="60" t="s">
        <v>316</v>
      </c>
      <c r="B9" s="60"/>
      <c r="C9" s="60"/>
      <c r="D9" s="60"/>
      <c r="E9" s="60"/>
    </row>
    <row r="10" customFormat="false" ht="15" hidden="false" customHeight="false" outlineLevel="0" collapsed="false">
      <c r="A10" s="16" t="s">
        <v>317</v>
      </c>
      <c r="B10" s="27" t="s">
        <v>318</v>
      </c>
      <c r="C10" s="24" t="s">
        <v>84</v>
      </c>
      <c r="D10" s="25" t="s">
        <v>319</v>
      </c>
      <c r="E10" s="26" t="s">
        <v>73</v>
      </c>
    </row>
    <row r="11" customFormat="false" ht="15" hidden="false" customHeight="false" outlineLevel="0" collapsed="false">
      <c r="A11" s="16" t="s">
        <v>320</v>
      </c>
      <c r="B11" s="27"/>
      <c r="C11" s="24" t="str">
        <f aca="false">IF(UNIT_SYSTEM="SI","MPa","ksi")</f>
        <v>MPa</v>
      </c>
      <c r="D11" s="25"/>
      <c r="E11" s="26" t="s">
        <v>73</v>
      </c>
    </row>
    <row r="12" customFormat="false" ht="15" hidden="false" customHeight="false" outlineLevel="0" collapsed="false">
      <c r="A12" s="16" t="s">
        <v>321</v>
      </c>
      <c r="B12" s="27" t="s">
        <v>322</v>
      </c>
      <c r="C12" s="24" t="s">
        <v>84</v>
      </c>
      <c r="D12" s="25" t="s">
        <v>323</v>
      </c>
      <c r="E12" s="26" t="s">
        <v>73</v>
      </c>
    </row>
    <row r="13" customFormat="false" ht="15" hidden="false" customHeight="false" outlineLevel="0" collapsed="false">
      <c r="A13" s="16" t="s">
        <v>324</v>
      </c>
      <c r="B13" s="40" t="n">
        <f aca="false">IF(UNIT_SYSTEM="SI",419,60.7708121089577)</f>
        <v>419</v>
      </c>
      <c r="C13" s="24" t="str">
        <f aca="false">IF(UNIT_SYSTEM="SI","MPa","ksi")</f>
        <v>MPa</v>
      </c>
      <c r="D13" s="25"/>
      <c r="E13" s="26" t="s">
        <v>73</v>
      </c>
    </row>
    <row r="14" customFormat="false" ht="15" hidden="false" customHeight="false" outlineLevel="0" collapsed="false">
      <c r="A14" s="16" t="s">
        <v>325</v>
      </c>
      <c r="B14" s="27" t="s">
        <v>326</v>
      </c>
      <c r="C14" s="24" t="s">
        <v>84</v>
      </c>
      <c r="D14" s="25"/>
      <c r="E14" s="26" t="s">
        <v>73</v>
      </c>
    </row>
    <row r="15" customFormat="false" ht="15" hidden="false" customHeight="false" outlineLevel="0" collapsed="false">
      <c r="A15" s="16" t="s">
        <v>327</v>
      </c>
      <c r="B15" s="27" t="s">
        <v>328</v>
      </c>
      <c r="C15" s="24" t="s">
        <v>84</v>
      </c>
      <c r="D15" s="25"/>
      <c r="E15" s="26" t="s">
        <v>73</v>
      </c>
    </row>
    <row r="16" customFormat="false" ht="15" hidden="false" customHeight="false" outlineLevel="0" collapsed="false">
      <c r="A16" s="16" t="s">
        <v>329</v>
      </c>
      <c r="B16" s="27" t="s">
        <v>330</v>
      </c>
      <c r="C16" s="24" t="s">
        <v>84</v>
      </c>
      <c r="D16" s="25"/>
      <c r="E16" s="26" t="s">
        <v>73</v>
      </c>
    </row>
    <row r="17" customFormat="false" ht="15" hidden="false" customHeight="false" outlineLevel="0" collapsed="false">
      <c r="A17" s="16" t="s">
        <v>331</v>
      </c>
      <c r="B17" s="27" t="s">
        <v>332</v>
      </c>
      <c r="C17" s="24" t="s">
        <v>84</v>
      </c>
      <c r="D17" s="25"/>
      <c r="E17" s="26" t="s">
        <v>73</v>
      </c>
    </row>
    <row r="18" customFormat="false" ht="15" hidden="false" customHeight="false" outlineLevel="0" collapsed="false">
      <c r="A18" s="16" t="s">
        <v>333</v>
      </c>
      <c r="B18" s="27" t="s">
        <v>201</v>
      </c>
      <c r="C18" s="24" t="s">
        <v>84</v>
      </c>
      <c r="D18" s="25"/>
      <c r="E18" s="26" t="s">
        <v>73</v>
      </c>
    </row>
    <row r="19" customFormat="false" ht="15" hidden="false" customHeight="false" outlineLevel="0" collapsed="false">
      <c r="A19" s="28" t="s">
        <v>334</v>
      </c>
      <c r="B19" s="39" t="n">
        <f aca="false">IF(in_ys_basis="ACTUAL",in_actual_ys,IF(ISNUMBER(in_smys_9d),in_smys_9d,db_SMYS)+IF(UNIT_SYSTEM="SI",69,10))</f>
        <v>419</v>
      </c>
      <c r="C19" s="24" t="str">
        <f aca="false">IF(UNIT_SYSTEM="SI","MPa","ksi")</f>
        <v>MPa</v>
      </c>
      <c r="D19" s="25" t="s">
        <v>335</v>
      </c>
      <c r="E19" s="30" t="s">
        <v>82</v>
      </c>
    </row>
    <row r="20" customFormat="false" ht="15" hidden="false" customHeight="false" outlineLevel="0" collapsed="false">
      <c r="A20" s="28" t="s">
        <v>336</v>
      </c>
      <c r="B20" s="39" t="n">
        <f aca="false">IF(in_direction="PARALLEL",0.3,0.2)*calc_sysr</f>
        <v>83.8</v>
      </c>
      <c r="C20" s="24" t="str">
        <f aca="false">IF(UNIT_SYSTEM="SI","MPa","ksi")</f>
        <v>MPa</v>
      </c>
      <c r="D20" s="25" t="s">
        <v>337</v>
      </c>
      <c r="E20" s="30" t="s">
        <v>82</v>
      </c>
    </row>
    <row r="21" customFormat="false" ht="19.5" hidden="false" customHeight="true" outlineLevel="0" collapsed="false">
      <c r="A21" s="60" t="s">
        <v>338</v>
      </c>
      <c r="B21" s="60"/>
      <c r="C21" s="60"/>
      <c r="D21" s="60"/>
      <c r="E21" s="60"/>
    </row>
    <row r="22" customFormat="false" ht="15" hidden="false" customHeight="false" outlineLevel="0" collapsed="false">
      <c r="A22" s="16" t="s">
        <v>339</v>
      </c>
      <c r="B22" s="27" t="s">
        <v>340</v>
      </c>
      <c r="C22" s="24" t="s">
        <v>84</v>
      </c>
      <c r="D22" s="25" t="s">
        <v>341</v>
      </c>
      <c r="E22" s="26" t="s">
        <v>73</v>
      </c>
    </row>
    <row r="23" customFormat="false" ht="15" hidden="false" customHeight="false" outlineLevel="0" collapsed="false">
      <c r="A23" s="16" t="s">
        <v>342</v>
      </c>
      <c r="B23" s="23" t="n">
        <v>0</v>
      </c>
      <c r="C23" s="24" t="str">
        <f aca="false">IF(UNIT_SYSTEM="SI","mm","in")</f>
        <v>mm</v>
      </c>
      <c r="D23" s="25"/>
      <c r="E23" s="26" t="s">
        <v>73</v>
      </c>
    </row>
    <row r="24" customFormat="false" ht="15" hidden="false" customHeight="false" outlineLevel="0" collapsed="false">
      <c r="A24" s="16" t="s">
        <v>343</v>
      </c>
      <c r="B24" s="23" t="n">
        <f aca="false">IF(UNIT_SYSTEM="SI",20,0.78740157480315)</f>
        <v>20</v>
      </c>
      <c r="C24" s="24" t="str">
        <f aca="false">IF(UNIT_SYSTEM="SI","mm","in")</f>
        <v>mm</v>
      </c>
      <c r="D24" s="25"/>
      <c r="E24" s="26" t="s">
        <v>73</v>
      </c>
    </row>
    <row r="25" customFormat="false" ht="15" hidden="false" customHeight="false" outlineLevel="0" collapsed="false">
      <c r="A25" s="16" t="s">
        <v>344</v>
      </c>
      <c r="B25" s="40" t="n">
        <v>101</v>
      </c>
      <c r="C25" s="24" t="s">
        <v>345</v>
      </c>
      <c r="D25" s="25"/>
      <c r="E25" s="26" t="s">
        <v>73</v>
      </c>
    </row>
  </sheetData>
  <mergeCells count="6">
    <mergeCell ref="A1:E1"/>
    <mergeCell ref="A2:E2"/>
    <mergeCell ref="A4:E4"/>
    <mergeCell ref="A6:E6"/>
    <mergeCell ref="A9:E9"/>
    <mergeCell ref="A21:E21"/>
  </mergeCells>
  <dataValidations count="9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L_RS_METHOD_S</formula1>
      <formula2>0</formula2>
    </dataValidation>
    <dataValidation allowBlank="true" error="Select a value from the drop-down list" errorStyle="stop" errorTitle="ATLAS input" operator="between" prompt="Select from the list (free entry also allowed)" promptTitle="ATLAS" showDropDown="false" showErrorMessage="false" showInputMessage="true" sqref="B10" type="list">
      <formula1>L_SPEC_TEXT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2" type="list">
      <formula1>L_YS_BASIS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4" type="list">
      <formula1>L_WELD_TYPE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5" type="list">
      <formula1>L_JOINT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6" type="list">
      <formula1>L_WELD_COND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7" type="list">
      <formula1>L_DIRECTION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8" type="list">
      <formula1>L_PT_CREDIT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2" type="list">
      <formula1>L_PROFILE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tru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6" min="5" style="0" width="18"/>
  </cols>
  <sheetData>
    <row r="1" customFormat="false" ht="25.5" hidden="false" customHeight="true" outlineLevel="0" collapsed="false">
      <c r="A1" s="61" t="str">
        <f aca="false">"LOAD HISTORY  -  VARIABLE AMPLITUDE BLOCKS  ("&amp;UNIT_SYSTEM&amp;" UNITS)"</f>
        <v>LOAD HISTORY  -  VARIABLE AMPLITUDE BLOCKS  (SI UNITS)</v>
      </c>
      <c r="B1" s="61"/>
      <c r="C1" s="61"/>
      <c r="D1" s="61"/>
      <c r="E1" s="61"/>
      <c r="F1" s="61"/>
    </row>
    <row r="2" customFormat="false" ht="15" hidden="false" customHeight="false" outlineLevel="0" collapsed="false">
      <c r="A2" s="20" t="s">
        <v>346</v>
      </c>
      <c r="B2" s="20"/>
      <c r="C2" s="20"/>
      <c r="D2" s="20"/>
      <c r="E2" s="20"/>
      <c r="F2" s="20"/>
    </row>
    <row r="3" customFormat="false" ht="15" hidden="false" customHeight="false" outlineLevel="0" collapsed="false">
      <c r="A3" s="62" t="s">
        <v>347</v>
      </c>
      <c r="B3" s="62" t="s">
        <v>348</v>
      </c>
      <c r="C3" s="62" t="s">
        <v>349</v>
      </c>
      <c r="D3" s="62" t="s">
        <v>350</v>
      </c>
      <c r="E3" s="62" t="s">
        <v>351</v>
      </c>
      <c r="F3" s="62" t="s">
        <v>352</v>
      </c>
    </row>
    <row r="4" customFormat="false" ht="15" hidden="false" customHeight="false" outlineLevel="0" collapsed="false">
      <c r="A4" s="27" t="s">
        <v>353</v>
      </c>
      <c r="B4" s="56" t="n">
        <v>0</v>
      </c>
      <c r="C4" s="56" t="n">
        <v>0.7</v>
      </c>
      <c r="D4" s="40" t="n">
        <v>500</v>
      </c>
      <c r="E4" s="57" t="n">
        <f aca="false">IF(A4="","",C4-B4)</f>
        <v>0.7</v>
      </c>
      <c r="F4" s="63" t="n">
        <f aca="false">IF(A4="","",D4/SUM($D$4:$D$43))</f>
        <v>0.5</v>
      </c>
    </row>
    <row r="5" customFormat="false" ht="15" hidden="false" customHeight="false" outlineLevel="0" collapsed="false">
      <c r="A5" s="27" t="s">
        <v>207</v>
      </c>
      <c r="B5" s="56" t="n">
        <v>0.07</v>
      </c>
      <c r="C5" s="56" t="n">
        <v>0.8</v>
      </c>
      <c r="D5" s="40" t="n">
        <v>300</v>
      </c>
      <c r="E5" s="57" t="n">
        <f aca="false">IF(A5="","",C5-B5)</f>
        <v>0.73</v>
      </c>
      <c r="F5" s="63" t="n">
        <f aca="false">IF(A5="","",D5/SUM($D$4:$D$43))</f>
        <v>0.3</v>
      </c>
    </row>
    <row r="6" customFormat="false" ht="15" hidden="false" customHeight="false" outlineLevel="0" collapsed="false">
      <c r="A6" s="27" t="s">
        <v>354</v>
      </c>
      <c r="B6" s="56" t="n">
        <v>0.09</v>
      </c>
      <c r="C6" s="56" t="n">
        <v>0.9</v>
      </c>
      <c r="D6" s="40" t="n">
        <v>150</v>
      </c>
      <c r="E6" s="57" t="n">
        <f aca="false">IF(A6="","",C6-B6)</f>
        <v>0.81</v>
      </c>
      <c r="F6" s="63" t="n">
        <f aca="false">IF(A6="","",D6/SUM($D$4:$D$43))</f>
        <v>0.15</v>
      </c>
    </row>
    <row r="7" customFormat="false" ht="15" hidden="false" customHeight="false" outlineLevel="0" collapsed="false">
      <c r="A7" s="27" t="s">
        <v>355</v>
      </c>
      <c r="B7" s="56" t="n">
        <v>0.1</v>
      </c>
      <c r="C7" s="56" t="n">
        <v>1</v>
      </c>
      <c r="D7" s="40" t="n">
        <v>50</v>
      </c>
      <c r="E7" s="57" t="n">
        <f aca="false">IF(A7="","",C7-B7)</f>
        <v>0.9</v>
      </c>
      <c r="F7" s="63" t="n">
        <f aca="false">IF(A7="","",D7/SUM($D$4:$D$43))</f>
        <v>0.05</v>
      </c>
    </row>
    <row r="8" customFormat="false" ht="15" hidden="false" customHeight="false" outlineLevel="0" collapsed="false">
      <c r="A8" s="27"/>
      <c r="B8" s="56"/>
      <c r="C8" s="56"/>
      <c r="D8" s="40"/>
      <c r="E8" s="57" t="str">
        <f aca="false">IF(A8="","",C8-B8)</f>
        <v/>
      </c>
      <c r="F8" s="63" t="str">
        <f aca="false">IF(A8="","",D8/SUM($D$4:$D$43))</f>
        <v/>
      </c>
    </row>
    <row r="9" customFormat="false" ht="15" hidden="false" customHeight="false" outlineLevel="0" collapsed="false">
      <c r="A9" s="27"/>
      <c r="B9" s="56"/>
      <c r="C9" s="56"/>
      <c r="D9" s="40"/>
      <c r="E9" s="57" t="str">
        <f aca="false">IF(A9="","",C9-B9)</f>
        <v/>
      </c>
      <c r="F9" s="63" t="str">
        <f aca="false">IF(A9="","",D9/SUM($D$4:$D$43))</f>
        <v/>
      </c>
    </row>
    <row r="10" customFormat="false" ht="15" hidden="false" customHeight="false" outlineLevel="0" collapsed="false">
      <c r="A10" s="27"/>
      <c r="B10" s="56"/>
      <c r="C10" s="56"/>
      <c r="D10" s="40"/>
      <c r="E10" s="57" t="str">
        <f aca="false">IF(A10="","",C10-B10)</f>
        <v/>
      </c>
      <c r="F10" s="63" t="str">
        <f aca="false">IF(A10="","",D10/SUM($D$4:$D$43))</f>
        <v/>
      </c>
    </row>
    <row r="11" customFormat="false" ht="15" hidden="false" customHeight="false" outlineLevel="0" collapsed="false">
      <c r="A11" s="27"/>
      <c r="B11" s="56"/>
      <c r="C11" s="56"/>
      <c r="D11" s="40"/>
      <c r="E11" s="57" t="str">
        <f aca="false">IF(A11="","",C11-B11)</f>
        <v/>
      </c>
      <c r="F11" s="63" t="str">
        <f aca="false">IF(A11="","",D11/SUM($D$4:$D$43))</f>
        <v/>
      </c>
    </row>
    <row r="12" customFormat="false" ht="15" hidden="false" customHeight="false" outlineLevel="0" collapsed="false">
      <c r="A12" s="27"/>
      <c r="B12" s="56"/>
      <c r="C12" s="56"/>
      <c r="D12" s="40"/>
      <c r="E12" s="57" t="str">
        <f aca="false">IF(A12="","",C12-B12)</f>
        <v/>
      </c>
      <c r="F12" s="63" t="str">
        <f aca="false">IF(A12="","",D12/SUM($D$4:$D$43))</f>
        <v/>
      </c>
    </row>
    <row r="13" customFormat="false" ht="15" hidden="false" customHeight="false" outlineLevel="0" collapsed="false">
      <c r="A13" s="27"/>
      <c r="B13" s="56"/>
      <c r="C13" s="56"/>
      <c r="D13" s="40"/>
      <c r="E13" s="57" t="str">
        <f aca="false">IF(A13="","",C13-B13)</f>
        <v/>
      </c>
      <c r="F13" s="63" t="str">
        <f aca="false">IF(A13="","",D13/SUM($D$4:$D$43))</f>
        <v/>
      </c>
    </row>
    <row r="14" customFormat="false" ht="15" hidden="false" customHeight="false" outlineLevel="0" collapsed="false">
      <c r="A14" s="27"/>
      <c r="B14" s="56"/>
      <c r="C14" s="56"/>
      <c r="D14" s="40"/>
      <c r="E14" s="57" t="str">
        <f aca="false">IF(A14="","",C14-B14)</f>
        <v/>
      </c>
      <c r="F14" s="63" t="str">
        <f aca="false">IF(A14="","",D14/SUM($D$4:$D$43))</f>
        <v/>
      </c>
    </row>
    <row r="15" customFormat="false" ht="15" hidden="false" customHeight="false" outlineLevel="0" collapsed="false">
      <c r="A15" s="27"/>
      <c r="B15" s="56"/>
      <c r="C15" s="56"/>
      <c r="D15" s="40"/>
      <c r="E15" s="57" t="str">
        <f aca="false">IF(A15="","",C15-B15)</f>
        <v/>
      </c>
      <c r="F15" s="63" t="str">
        <f aca="false">IF(A15="","",D15/SUM($D$4:$D$43))</f>
        <v/>
      </c>
    </row>
    <row r="16" customFormat="false" ht="15" hidden="false" customHeight="false" outlineLevel="0" collapsed="false">
      <c r="A16" s="27"/>
      <c r="B16" s="56"/>
      <c r="C16" s="56"/>
      <c r="D16" s="40"/>
      <c r="E16" s="57" t="str">
        <f aca="false">IF(A16="","",C16-B16)</f>
        <v/>
      </c>
      <c r="F16" s="63" t="str">
        <f aca="false">IF(A16="","",D16/SUM($D$4:$D$43))</f>
        <v/>
      </c>
    </row>
    <row r="17" customFormat="false" ht="15" hidden="false" customHeight="false" outlineLevel="0" collapsed="false">
      <c r="A17" s="27"/>
      <c r="B17" s="56"/>
      <c r="C17" s="56"/>
      <c r="D17" s="40"/>
      <c r="E17" s="57" t="str">
        <f aca="false">IF(A17="","",C17-B17)</f>
        <v/>
      </c>
      <c r="F17" s="63" t="str">
        <f aca="false">IF(A17="","",D17/SUM($D$4:$D$43))</f>
        <v/>
      </c>
    </row>
    <row r="18" customFormat="false" ht="15" hidden="false" customHeight="false" outlineLevel="0" collapsed="false">
      <c r="A18" s="27"/>
      <c r="B18" s="56"/>
      <c r="C18" s="56"/>
      <c r="D18" s="40"/>
      <c r="E18" s="57" t="str">
        <f aca="false">IF(A18="","",C18-B18)</f>
        <v/>
      </c>
      <c r="F18" s="63" t="str">
        <f aca="false">IF(A18="","",D18/SUM($D$4:$D$43))</f>
        <v/>
      </c>
    </row>
    <row r="19" customFormat="false" ht="15" hidden="false" customHeight="false" outlineLevel="0" collapsed="false">
      <c r="A19" s="27"/>
      <c r="B19" s="56"/>
      <c r="C19" s="56"/>
      <c r="D19" s="40"/>
      <c r="E19" s="57" t="str">
        <f aca="false">IF(A19="","",C19-B19)</f>
        <v/>
      </c>
      <c r="F19" s="63" t="str">
        <f aca="false">IF(A19="","",D19/SUM($D$4:$D$43))</f>
        <v/>
      </c>
    </row>
    <row r="20" customFormat="false" ht="15" hidden="false" customHeight="false" outlineLevel="0" collapsed="false">
      <c r="A20" s="27"/>
      <c r="B20" s="56"/>
      <c r="C20" s="56"/>
      <c r="D20" s="40"/>
      <c r="E20" s="57" t="str">
        <f aca="false">IF(A20="","",C20-B20)</f>
        <v/>
      </c>
      <c r="F20" s="63" t="str">
        <f aca="false">IF(A20="","",D20/SUM($D$4:$D$43))</f>
        <v/>
      </c>
    </row>
    <row r="21" customFormat="false" ht="15" hidden="false" customHeight="false" outlineLevel="0" collapsed="false">
      <c r="A21" s="27"/>
      <c r="B21" s="56"/>
      <c r="C21" s="56"/>
      <c r="D21" s="40"/>
      <c r="E21" s="57" t="str">
        <f aca="false">IF(A21="","",C21-B21)</f>
        <v/>
      </c>
      <c r="F21" s="63" t="str">
        <f aca="false">IF(A21="","",D21/SUM($D$4:$D$43))</f>
        <v/>
      </c>
    </row>
    <row r="22" customFormat="false" ht="15" hidden="false" customHeight="false" outlineLevel="0" collapsed="false">
      <c r="A22" s="27"/>
      <c r="B22" s="56"/>
      <c r="C22" s="56"/>
      <c r="D22" s="40"/>
      <c r="E22" s="57" t="str">
        <f aca="false">IF(A22="","",C22-B22)</f>
        <v/>
      </c>
      <c r="F22" s="63" t="str">
        <f aca="false">IF(A22="","",D22/SUM($D$4:$D$43))</f>
        <v/>
      </c>
    </row>
    <row r="23" customFormat="false" ht="15" hidden="false" customHeight="false" outlineLevel="0" collapsed="false">
      <c r="A23" s="27"/>
      <c r="B23" s="56"/>
      <c r="C23" s="56"/>
      <c r="D23" s="40"/>
      <c r="E23" s="57" t="str">
        <f aca="false">IF(A23="","",C23-B23)</f>
        <v/>
      </c>
      <c r="F23" s="63" t="str">
        <f aca="false">IF(A23="","",D23/SUM($D$4:$D$43))</f>
        <v/>
      </c>
    </row>
    <row r="24" customFormat="false" ht="15" hidden="false" customHeight="false" outlineLevel="0" collapsed="false">
      <c r="A24" s="27"/>
      <c r="B24" s="56"/>
      <c r="C24" s="56"/>
      <c r="D24" s="40"/>
      <c r="E24" s="57" t="str">
        <f aca="false">IF(A24="","",C24-B24)</f>
        <v/>
      </c>
      <c r="F24" s="63" t="str">
        <f aca="false">IF(A24="","",D24/SUM($D$4:$D$43))</f>
        <v/>
      </c>
    </row>
    <row r="25" customFormat="false" ht="15" hidden="false" customHeight="false" outlineLevel="0" collapsed="false">
      <c r="A25" s="27"/>
      <c r="B25" s="56"/>
      <c r="C25" s="56"/>
      <c r="D25" s="40"/>
      <c r="E25" s="57" t="str">
        <f aca="false">IF(A25="","",C25-B25)</f>
        <v/>
      </c>
      <c r="F25" s="63" t="str">
        <f aca="false">IF(A25="","",D25/SUM($D$4:$D$43))</f>
        <v/>
      </c>
    </row>
    <row r="26" customFormat="false" ht="15" hidden="false" customHeight="false" outlineLevel="0" collapsed="false">
      <c r="A26" s="27"/>
      <c r="B26" s="56"/>
      <c r="C26" s="56"/>
      <c r="D26" s="40"/>
      <c r="E26" s="57" t="str">
        <f aca="false">IF(A26="","",C26-B26)</f>
        <v/>
      </c>
      <c r="F26" s="63" t="str">
        <f aca="false">IF(A26="","",D26/SUM($D$4:$D$43))</f>
        <v/>
      </c>
    </row>
    <row r="27" customFormat="false" ht="15" hidden="false" customHeight="false" outlineLevel="0" collapsed="false">
      <c r="A27" s="27"/>
      <c r="B27" s="56"/>
      <c r="C27" s="56"/>
      <c r="D27" s="40"/>
      <c r="E27" s="57" t="str">
        <f aca="false">IF(A27="","",C27-B27)</f>
        <v/>
      </c>
      <c r="F27" s="63" t="str">
        <f aca="false">IF(A27="","",D27/SUM($D$4:$D$43))</f>
        <v/>
      </c>
    </row>
    <row r="28" customFormat="false" ht="15" hidden="false" customHeight="false" outlineLevel="0" collapsed="false">
      <c r="A28" s="27"/>
      <c r="B28" s="56"/>
      <c r="C28" s="56"/>
      <c r="D28" s="40"/>
      <c r="E28" s="57" t="str">
        <f aca="false">IF(A28="","",C28-B28)</f>
        <v/>
      </c>
      <c r="F28" s="63" t="str">
        <f aca="false">IF(A28="","",D28/SUM($D$4:$D$43))</f>
        <v/>
      </c>
    </row>
    <row r="29" customFormat="false" ht="15" hidden="false" customHeight="false" outlineLevel="0" collapsed="false">
      <c r="A29" s="27"/>
      <c r="B29" s="56"/>
      <c r="C29" s="56"/>
      <c r="D29" s="40"/>
      <c r="E29" s="57" t="str">
        <f aca="false">IF(A29="","",C29-B29)</f>
        <v/>
      </c>
      <c r="F29" s="63" t="str">
        <f aca="false">IF(A29="","",D29/SUM($D$4:$D$43))</f>
        <v/>
      </c>
    </row>
    <row r="30" customFormat="false" ht="15" hidden="false" customHeight="false" outlineLevel="0" collapsed="false">
      <c r="A30" s="27"/>
      <c r="B30" s="56"/>
      <c r="C30" s="56"/>
      <c r="D30" s="40"/>
      <c r="E30" s="57" t="str">
        <f aca="false">IF(A30="","",C30-B30)</f>
        <v/>
      </c>
      <c r="F30" s="63" t="str">
        <f aca="false">IF(A30="","",D30/SUM($D$4:$D$43))</f>
        <v/>
      </c>
    </row>
    <row r="31" customFormat="false" ht="15" hidden="false" customHeight="false" outlineLevel="0" collapsed="false">
      <c r="A31" s="27"/>
      <c r="B31" s="56"/>
      <c r="C31" s="56"/>
      <c r="D31" s="40"/>
      <c r="E31" s="57" t="str">
        <f aca="false">IF(A31="","",C31-B31)</f>
        <v/>
      </c>
      <c r="F31" s="63" t="str">
        <f aca="false">IF(A31="","",D31/SUM($D$4:$D$43))</f>
        <v/>
      </c>
    </row>
    <row r="32" customFormat="false" ht="15" hidden="false" customHeight="false" outlineLevel="0" collapsed="false">
      <c r="A32" s="27"/>
      <c r="B32" s="56"/>
      <c r="C32" s="56"/>
      <c r="D32" s="40"/>
      <c r="E32" s="57" t="str">
        <f aca="false">IF(A32="","",C32-B32)</f>
        <v/>
      </c>
      <c r="F32" s="63" t="str">
        <f aca="false">IF(A32="","",D32/SUM($D$4:$D$43))</f>
        <v/>
      </c>
    </row>
    <row r="33" customFormat="false" ht="15" hidden="false" customHeight="false" outlineLevel="0" collapsed="false">
      <c r="A33" s="27"/>
      <c r="B33" s="56"/>
      <c r="C33" s="56"/>
      <c r="D33" s="40"/>
      <c r="E33" s="57" t="str">
        <f aca="false">IF(A33="","",C33-B33)</f>
        <v/>
      </c>
      <c r="F33" s="63" t="str">
        <f aca="false">IF(A33="","",D33/SUM($D$4:$D$43))</f>
        <v/>
      </c>
    </row>
    <row r="34" customFormat="false" ht="15" hidden="false" customHeight="false" outlineLevel="0" collapsed="false">
      <c r="A34" s="27"/>
      <c r="B34" s="56"/>
      <c r="C34" s="56"/>
      <c r="D34" s="40"/>
      <c r="E34" s="57" t="str">
        <f aca="false">IF(A34="","",C34-B34)</f>
        <v/>
      </c>
      <c r="F34" s="63" t="str">
        <f aca="false">IF(A34="","",D34/SUM($D$4:$D$43))</f>
        <v/>
      </c>
    </row>
    <row r="35" customFormat="false" ht="15" hidden="false" customHeight="false" outlineLevel="0" collapsed="false">
      <c r="A35" s="27"/>
      <c r="B35" s="56"/>
      <c r="C35" s="56"/>
      <c r="D35" s="40"/>
      <c r="E35" s="57" t="str">
        <f aca="false">IF(A35="","",C35-B35)</f>
        <v/>
      </c>
      <c r="F35" s="63" t="str">
        <f aca="false">IF(A35="","",D35/SUM($D$4:$D$43))</f>
        <v/>
      </c>
    </row>
    <row r="36" customFormat="false" ht="15" hidden="false" customHeight="false" outlineLevel="0" collapsed="false">
      <c r="A36" s="27"/>
      <c r="B36" s="56"/>
      <c r="C36" s="56"/>
      <c r="D36" s="40"/>
      <c r="E36" s="57" t="str">
        <f aca="false">IF(A36="","",C36-B36)</f>
        <v/>
      </c>
      <c r="F36" s="63" t="str">
        <f aca="false">IF(A36="","",D36/SUM($D$4:$D$43))</f>
        <v/>
      </c>
    </row>
    <row r="37" customFormat="false" ht="15" hidden="false" customHeight="false" outlineLevel="0" collapsed="false">
      <c r="A37" s="27"/>
      <c r="B37" s="56"/>
      <c r="C37" s="56"/>
      <c r="D37" s="40"/>
      <c r="E37" s="57" t="str">
        <f aca="false">IF(A37="","",C37-B37)</f>
        <v/>
      </c>
      <c r="F37" s="63" t="str">
        <f aca="false">IF(A37="","",D37/SUM($D$4:$D$43))</f>
        <v/>
      </c>
    </row>
    <row r="38" customFormat="false" ht="15" hidden="false" customHeight="false" outlineLevel="0" collapsed="false">
      <c r="A38" s="27"/>
      <c r="B38" s="56"/>
      <c r="C38" s="56"/>
      <c r="D38" s="40"/>
      <c r="E38" s="57" t="str">
        <f aca="false">IF(A38="","",C38-B38)</f>
        <v/>
      </c>
      <c r="F38" s="63" t="str">
        <f aca="false">IF(A38="","",D38/SUM($D$4:$D$43))</f>
        <v/>
      </c>
    </row>
    <row r="39" customFormat="false" ht="15" hidden="false" customHeight="false" outlineLevel="0" collapsed="false">
      <c r="A39" s="27"/>
      <c r="B39" s="56"/>
      <c r="C39" s="56"/>
      <c r="D39" s="40"/>
      <c r="E39" s="57" t="str">
        <f aca="false">IF(A39="","",C39-B39)</f>
        <v/>
      </c>
      <c r="F39" s="63" t="str">
        <f aca="false">IF(A39="","",D39/SUM($D$4:$D$43))</f>
        <v/>
      </c>
    </row>
    <row r="40" customFormat="false" ht="15" hidden="false" customHeight="false" outlineLevel="0" collapsed="false">
      <c r="A40" s="27"/>
      <c r="B40" s="56"/>
      <c r="C40" s="56"/>
      <c r="D40" s="40"/>
      <c r="E40" s="57" t="str">
        <f aca="false">IF(A40="","",C40-B40)</f>
        <v/>
      </c>
      <c r="F40" s="63" t="str">
        <f aca="false">IF(A40="","",D40/SUM($D$4:$D$43))</f>
        <v/>
      </c>
    </row>
    <row r="41" customFormat="false" ht="15" hidden="false" customHeight="false" outlineLevel="0" collapsed="false">
      <c r="A41" s="27"/>
      <c r="B41" s="56"/>
      <c r="C41" s="56"/>
      <c r="D41" s="40"/>
      <c r="E41" s="57" t="str">
        <f aca="false">IF(A41="","",C41-B41)</f>
        <v/>
      </c>
      <c r="F41" s="63" t="str">
        <f aca="false">IF(A41="","",D41/SUM($D$4:$D$43))</f>
        <v/>
      </c>
    </row>
    <row r="42" customFormat="false" ht="15" hidden="false" customHeight="false" outlineLevel="0" collapsed="false">
      <c r="A42" s="27"/>
      <c r="B42" s="56"/>
      <c r="C42" s="56"/>
      <c r="D42" s="40"/>
      <c r="E42" s="57" t="str">
        <f aca="false">IF(A42="","",C42-B42)</f>
        <v/>
      </c>
      <c r="F42" s="63" t="str">
        <f aca="false">IF(A42="","",D42/SUM($D$4:$D$43))</f>
        <v/>
      </c>
    </row>
    <row r="43" customFormat="false" ht="15" hidden="false" customHeight="false" outlineLevel="0" collapsed="false">
      <c r="A43" s="27"/>
      <c r="B43" s="56"/>
      <c r="C43" s="56"/>
      <c r="D43" s="40"/>
      <c r="E43" s="57" t="str">
        <f aca="false">IF(A43="","",C43-B43)</f>
        <v/>
      </c>
      <c r="F43" s="63" t="str">
        <f aca="false">IF(A43="","",D43/SUM($D$4:$D$43))</f>
        <v/>
      </c>
    </row>
    <row r="45" customFormat="false" ht="15" hidden="false" customHeight="false" outlineLevel="0" collapsed="false">
      <c r="C45" s="8" t="s">
        <v>356</v>
      </c>
      <c r="D45" s="64" t="n">
        <f aca="false">SUM(D4:D43)</f>
        <v>1000</v>
      </c>
    </row>
    <row r="47" customFormat="false" ht="15" hidden="false" customHeight="false" outlineLevel="0" collapsed="false">
      <c r="A47" s="65" t="s">
        <v>357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tru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66" t="str">
        <f aca="false">"CONTROLS  -  KPSCL1 / KPSCL2 / RPSCL  ("&amp;UNIT_SYSTEM&amp;" UNITS)"</f>
        <v>CONTROLS  -  KPSCL1 / KPSCL2 / RPSCL  (SI UNITS)</v>
      </c>
      <c r="B1" s="66"/>
      <c r="C1" s="66"/>
      <c r="D1" s="66"/>
      <c r="E1" s="66"/>
    </row>
    <row r="2" customFormat="false" ht="15" hidden="false" customHeight="false" outlineLevel="0" collapsed="false">
      <c r="A2" s="20" t="s">
        <v>358</v>
      </c>
      <c r="B2" s="20"/>
      <c r="C2" s="20"/>
      <c r="D2" s="20"/>
      <c r="E2" s="20"/>
    </row>
    <row r="3" customFormat="false" ht="15" hidden="false" customHeight="false" outlineLevel="0" collapsed="false">
      <c r="A3" s="67" t="s">
        <v>66</v>
      </c>
      <c r="B3" s="67" t="s">
        <v>67</v>
      </c>
      <c r="C3" s="67" t="s">
        <v>68</v>
      </c>
      <c r="D3" s="67" t="s">
        <v>69</v>
      </c>
      <c r="E3" s="67" t="s">
        <v>70</v>
      </c>
    </row>
    <row r="4" customFormat="false" ht="19.5" hidden="false" customHeight="true" outlineLevel="0" collapsed="false">
      <c r="A4" s="68" t="s">
        <v>359</v>
      </c>
      <c r="B4" s="68"/>
      <c r="C4" s="68"/>
      <c r="D4" s="68"/>
      <c r="E4" s="68"/>
    </row>
    <row r="5" customFormat="false" ht="15" hidden="false" customHeight="false" outlineLevel="0" collapsed="false">
      <c r="A5" s="16" t="s">
        <v>360</v>
      </c>
      <c r="B5" s="40" t="n">
        <v>5000000</v>
      </c>
      <c r="C5" s="24" t="s">
        <v>361</v>
      </c>
      <c r="D5" s="25"/>
      <c r="E5" s="26" t="s">
        <v>73</v>
      </c>
    </row>
    <row r="6" customFormat="false" ht="15" hidden="false" customHeight="false" outlineLevel="0" collapsed="false">
      <c r="A6" s="16" t="s">
        <v>362</v>
      </c>
      <c r="B6" s="23" t="n">
        <f aca="false">IF(UNIT_SYSTEM="SI",0.02,0.00078740157480315)</f>
        <v>0.02</v>
      </c>
      <c r="C6" s="24" t="str">
        <f aca="false">IF(UNIT_SYSTEM="SI","mm","in")</f>
        <v>mm</v>
      </c>
      <c r="D6" s="25"/>
      <c r="E6" s="26" t="s">
        <v>73</v>
      </c>
    </row>
    <row r="7" customFormat="false" ht="15" hidden="false" customHeight="false" outlineLevel="0" collapsed="false">
      <c r="A7" s="16" t="s">
        <v>363</v>
      </c>
      <c r="B7" s="40" t="n">
        <v>100</v>
      </c>
      <c r="C7" s="24" t="s">
        <v>364</v>
      </c>
      <c r="D7" s="25"/>
      <c r="E7" s="26" t="s">
        <v>73</v>
      </c>
    </row>
    <row r="8" customFormat="false" ht="15" hidden="false" customHeight="false" outlineLevel="0" collapsed="false">
      <c r="A8" s="16" t="s">
        <v>365</v>
      </c>
      <c r="B8" s="40" t="n">
        <v>250</v>
      </c>
      <c r="C8" s="24" t="s">
        <v>345</v>
      </c>
      <c r="D8" s="25"/>
      <c r="E8" s="26" t="s">
        <v>73</v>
      </c>
    </row>
    <row r="9" customFormat="false" ht="19.5" hidden="false" customHeight="true" outlineLevel="0" collapsed="false">
      <c r="A9" s="68" t="s">
        <v>366</v>
      </c>
      <c r="B9" s="68"/>
      <c r="C9" s="68"/>
      <c r="D9" s="68"/>
      <c r="E9" s="68"/>
    </row>
    <row r="10" customFormat="false" ht="15" hidden="false" customHeight="false" outlineLevel="0" collapsed="false">
      <c r="A10" s="16" t="s">
        <v>367</v>
      </c>
      <c r="B10" s="27" t="s">
        <v>368</v>
      </c>
      <c r="C10" s="24" t="s">
        <v>84</v>
      </c>
      <c r="D10" s="25" t="s">
        <v>369</v>
      </c>
      <c r="E10" s="26" t="s">
        <v>73</v>
      </c>
    </row>
    <row r="11" customFormat="false" ht="15" hidden="false" customHeight="false" outlineLevel="0" collapsed="false">
      <c r="A11" s="16" t="s">
        <v>370</v>
      </c>
      <c r="B11" s="40" t="n">
        <v>100000</v>
      </c>
      <c r="C11" s="24" t="s">
        <v>361</v>
      </c>
      <c r="D11" s="25" t="s">
        <v>371</v>
      </c>
      <c r="E11" s="26" t="s">
        <v>73</v>
      </c>
    </row>
    <row r="12" customFormat="false" ht="15" hidden="false" customHeight="false" outlineLevel="0" collapsed="false">
      <c r="A12" s="16" t="s">
        <v>372</v>
      </c>
      <c r="B12" s="23" t="n">
        <v>2</v>
      </c>
      <c r="C12" s="24" t="s">
        <v>84</v>
      </c>
      <c r="D12" s="25" t="s">
        <v>373</v>
      </c>
      <c r="E12" s="26" t="s">
        <v>73</v>
      </c>
    </row>
    <row r="13" customFormat="false" ht="15" hidden="false" customHeight="false" outlineLevel="0" collapsed="false">
      <c r="A13" s="28" t="s">
        <v>374</v>
      </c>
      <c r="B13" s="37" t="n">
        <f aca="false">in_required_life*in_life_margin</f>
        <v>200000</v>
      </c>
      <c r="C13" s="24" t="s">
        <v>361</v>
      </c>
      <c r="D13" s="25" t="s">
        <v>375</v>
      </c>
      <c r="E13" s="30" t="s">
        <v>82</v>
      </c>
    </row>
    <row r="14" customFormat="false" ht="19.5" hidden="false" customHeight="true" outlineLevel="0" collapsed="false">
      <c r="A14" s="68" t="s">
        <v>376</v>
      </c>
      <c r="B14" s="68"/>
      <c r="C14" s="68"/>
      <c r="D14" s="68"/>
      <c r="E14" s="68"/>
    </row>
    <row r="15" customFormat="false" ht="15" hidden="false" customHeight="false" outlineLevel="0" collapsed="false">
      <c r="A15" s="16" t="s">
        <v>377</v>
      </c>
      <c r="B15" s="23" t="n">
        <v>0.5</v>
      </c>
      <c r="C15" s="24" t="s">
        <v>378</v>
      </c>
      <c r="D15" s="25" t="s">
        <v>379</v>
      </c>
      <c r="E15" s="26" t="s">
        <v>73</v>
      </c>
    </row>
    <row r="16" customFormat="false" ht="15" hidden="false" customHeight="false" outlineLevel="0" collapsed="false">
      <c r="A16" s="16" t="s">
        <v>380</v>
      </c>
      <c r="B16" s="27"/>
      <c r="C16" s="24" t="s">
        <v>361</v>
      </c>
      <c r="D16" s="25" t="s">
        <v>381</v>
      </c>
      <c r="E16" s="26" t="s">
        <v>73</v>
      </c>
    </row>
    <row r="17" customFormat="false" ht="15" hidden="false" customHeight="false" outlineLevel="0" collapsed="false">
      <c r="A17" s="16" t="s">
        <v>382</v>
      </c>
      <c r="B17" s="27"/>
      <c r="C17" s="24" t="s">
        <v>383</v>
      </c>
      <c r="D17" s="25" t="s">
        <v>384</v>
      </c>
      <c r="E17" s="26" t="s">
        <v>73</v>
      </c>
    </row>
  </sheetData>
  <mergeCells count="5">
    <mergeCell ref="A1:E1"/>
    <mergeCell ref="A2:E2"/>
    <mergeCell ref="A4:E4"/>
    <mergeCell ref="A9:E9"/>
    <mergeCell ref="A14:E14"/>
  </mergeCells>
  <dataValidations count="3">
    <dataValidation allowBlank="true" error="Select a value from the drop-down list" errorStyle="stop" errorTitle="ATLAS input" operator="between" prompt="Select from the list" promptTitle="ATLAS" showDropDown="false" showErrorMessage="true" showInputMessage="true" sqref="B10" type="list">
      <formula1>L_FLAW_BASIS</formula1>
      <formula2>0</formula2>
    </dataValidation>
    <dataValidation allowBlank="true" error="Select a value from the drop-down list" errorStyle="stop" errorTitle="ATLAS input" operator="between" prompt="Select from the list (free entry also allowed)" promptTitle="ATLAS" showDropDown="false" showErrorMessage="false" showInputMessage="true" sqref="B12" type="list">
      <formula1>L_LIFE_MARGIN</formula1>
      <formula2>0</formula2>
    </dataValidation>
    <dataValidation allowBlank="true" error="Select a value from the drop-down list" errorStyle="stop" errorTitle="ATLAS input" operator="between" prompt="Select from the list (free entry also allowed)" promptTitle="ATLAS" showDropDown="false" showErrorMessage="false" showInputMessage="true" sqref="B15" type="list">
      <formula1>L_INSP_FRACTION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47" t="str">
        <f aca="false">"LEVEL3  -  KPSCL1 / KPSCL2 / RPSCL  ("&amp;UNIT_SYSTEM&amp;" UNITS)"</f>
        <v>LEVEL3  -  KPSCL1 / KPSCL2 / RPSCL  (SI UNITS)</v>
      </c>
      <c r="B1" s="47"/>
      <c r="C1" s="47"/>
      <c r="D1" s="47"/>
      <c r="E1" s="47"/>
    </row>
    <row r="2" customFormat="false" ht="15" hidden="false" customHeight="false" outlineLevel="0" collapsed="false">
      <c r="A2" s="20" t="s">
        <v>385</v>
      </c>
      <c r="B2" s="20"/>
      <c r="C2" s="20"/>
      <c r="D2" s="20"/>
      <c r="E2" s="20"/>
    </row>
    <row r="3" customFormat="false" ht="15" hidden="false" customHeight="false" outlineLevel="0" collapsed="false">
      <c r="A3" s="48" t="s">
        <v>66</v>
      </c>
      <c r="B3" s="48" t="s">
        <v>67</v>
      </c>
      <c r="C3" s="48" t="s">
        <v>68</v>
      </c>
      <c r="D3" s="48" t="s">
        <v>69</v>
      </c>
      <c r="E3" s="48" t="s">
        <v>70</v>
      </c>
    </row>
    <row r="4" customFormat="false" ht="19.5" hidden="false" customHeight="true" outlineLevel="0" collapsed="false">
      <c r="A4" s="49" t="s">
        <v>386</v>
      </c>
      <c r="B4" s="49"/>
      <c r="C4" s="49"/>
      <c r="D4" s="49"/>
      <c r="E4" s="49"/>
    </row>
    <row r="5" customFormat="false" ht="15" hidden="false" customHeight="false" outlineLevel="0" collapsed="false">
      <c r="A5" s="16" t="s">
        <v>387</v>
      </c>
      <c r="B5" s="27" t="s">
        <v>305</v>
      </c>
      <c r="C5" s="24" t="s">
        <v>84</v>
      </c>
      <c r="D5" s="25" t="s">
        <v>388</v>
      </c>
      <c r="E5" s="26" t="s">
        <v>73</v>
      </c>
    </row>
    <row r="6" customFormat="false" ht="23.85" hidden="false" customHeight="false" outlineLevel="0" collapsed="false">
      <c r="A6" s="48" t="s">
        <v>389</v>
      </c>
      <c r="B6" s="48" t="s">
        <v>390</v>
      </c>
      <c r="C6" s="48" t="s">
        <v>391</v>
      </c>
      <c r="D6" s="48" t="s">
        <v>392</v>
      </c>
      <c r="E6" s="48" t="s">
        <v>70</v>
      </c>
    </row>
    <row r="7" customFormat="false" ht="15" hidden="false" customHeight="false" outlineLevel="0" collapsed="false">
      <c r="A7" s="16" t="s">
        <v>393</v>
      </c>
      <c r="B7" s="27" t="s">
        <v>305</v>
      </c>
      <c r="C7" s="69" t="n">
        <v>-10</v>
      </c>
      <c r="D7" s="69" t="n">
        <v>10</v>
      </c>
      <c r="E7" s="26" t="s">
        <v>73</v>
      </c>
    </row>
    <row r="8" customFormat="false" ht="15" hidden="false" customHeight="false" outlineLevel="0" collapsed="false">
      <c r="A8" s="16" t="s">
        <v>394</v>
      </c>
      <c r="B8" s="27" t="s">
        <v>305</v>
      </c>
      <c r="C8" s="69" t="n">
        <v>-20</v>
      </c>
      <c r="D8" s="69" t="n">
        <v>20</v>
      </c>
      <c r="E8" s="26" t="s">
        <v>73</v>
      </c>
    </row>
    <row r="9" customFormat="false" ht="15" hidden="false" customHeight="false" outlineLevel="0" collapsed="false">
      <c r="A9" s="16" t="s">
        <v>395</v>
      </c>
      <c r="B9" s="27" t="s">
        <v>305</v>
      </c>
      <c r="C9" s="69" t="n">
        <v>-30</v>
      </c>
      <c r="D9" s="69" t="n">
        <v>30</v>
      </c>
      <c r="E9" s="26" t="s">
        <v>73</v>
      </c>
    </row>
    <row r="10" customFormat="false" ht="15" hidden="false" customHeight="false" outlineLevel="0" collapsed="false">
      <c r="A10" s="16" t="s">
        <v>396</v>
      </c>
      <c r="B10" s="27" t="s">
        <v>305</v>
      </c>
      <c r="C10" s="69" t="n">
        <v>-20</v>
      </c>
      <c r="D10" s="69" t="n">
        <v>20</v>
      </c>
      <c r="E10" s="26" t="s">
        <v>73</v>
      </c>
    </row>
    <row r="11" customFormat="false" ht="15" hidden="false" customHeight="false" outlineLevel="0" collapsed="false">
      <c r="A11" s="16" t="s">
        <v>397</v>
      </c>
      <c r="B11" s="27" t="s">
        <v>305</v>
      </c>
      <c r="C11" s="69" t="n">
        <v>-20</v>
      </c>
      <c r="D11" s="69" t="n">
        <v>20</v>
      </c>
      <c r="E11" s="26" t="s">
        <v>73</v>
      </c>
    </row>
    <row r="12" customFormat="false" ht="15" hidden="false" customHeight="false" outlineLevel="0" collapsed="false">
      <c r="A12" s="16" t="s">
        <v>398</v>
      </c>
      <c r="B12" s="27" t="s">
        <v>305</v>
      </c>
      <c r="C12" s="69" t="n">
        <v>-10</v>
      </c>
      <c r="D12" s="69" t="n">
        <v>10</v>
      </c>
      <c r="E12" s="26" t="s">
        <v>73</v>
      </c>
    </row>
    <row r="13" customFormat="false" ht="15" hidden="false" customHeight="false" outlineLevel="0" collapsed="false">
      <c r="A13" s="16" t="s">
        <v>399</v>
      </c>
      <c r="B13" s="27" t="s">
        <v>305</v>
      </c>
      <c r="C13" s="69" t="n">
        <v>-50</v>
      </c>
      <c r="D13" s="69" t="n">
        <v>100</v>
      </c>
      <c r="E13" s="26" t="s">
        <v>73</v>
      </c>
    </row>
    <row r="14" customFormat="false" ht="15" hidden="false" customHeight="false" outlineLevel="0" collapsed="false">
      <c r="A14" s="16" t="s">
        <v>244</v>
      </c>
      <c r="B14" s="27" t="s">
        <v>305</v>
      </c>
      <c r="C14" s="69" t="n">
        <v>-20</v>
      </c>
      <c r="D14" s="69" t="n">
        <v>20</v>
      </c>
      <c r="E14" s="26" t="s">
        <v>73</v>
      </c>
    </row>
    <row r="15" customFormat="false" ht="25.5" hidden="false" customHeight="true" outlineLevel="0" collapsed="false">
      <c r="A15" s="32" t="s">
        <v>400</v>
      </c>
      <c r="B15" s="32"/>
      <c r="C15" s="32"/>
      <c r="D15" s="32"/>
      <c r="E15" s="32"/>
    </row>
    <row r="16" customFormat="false" ht="19.5" hidden="false" customHeight="true" outlineLevel="0" collapsed="false">
      <c r="A16" s="49" t="s">
        <v>401</v>
      </c>
      <c r="B16" s="49"/>
      <c r="C16" s="49"/>
      <c r="D16" s="49"/>
      <c r="E16" s="49"/>
    </row>
    <row r="17" customFormat="false" ht="15" hidden="false" customHeight="false" outlineLevel="0" collapsed="false">
      <c r="A17" s="16" t="s">
        <v>402</v>
      </c>
      <c r="B17" s="27" t="s">
        <v>403</v>
      </c>
      <c r="C17" s="24" t="s">
        <v>84</v>
      </c>
      <c r="D17" s="25" t="s">
        <v>404</v>
      </c>
      <c r="E17" s="26" t="s">
        <v>73</v>
      </c>
    </row>
    <row r="18" customFormat="false" ht="15" hidden="false" customHeight="false" outlineLevel="0" collapsed="false">
      <c r="A18" s="16" t="s">
        <v>405</v>
      </c>
      <c r="B18" s="23" t="n">
        <v>1.2</v>
      </c>
      <c r="C18" s="24" t="s">
        <v>406</v>
      </c>
      <c r="D18" s="25" t="s">
        <v>407</v>
      </c>
      <c r="E18" s="26" t="s">
        <v>73</v>
      </c>
    </row>
    <row r="19" customFormat="false" ht="15" hidden="false" customHeight="false" outlineLevel="0" collapsed="false">
      <c r="A19" s="16" t="s">
        <v>408</v>
      </c>
      <c r="B19" s="23" t="n">
        <v>1.2</v>
      </c>
      <c r="C19" s="24" t="s">
        <v>406</v>
      </c>
      <c r="D19" s="25" t="s">
        <v>407</v>
      </c>
      <c r="E19" s="26" t="s">
        <v>73</v>
      </c>
    </row>
    <row r="20" customFormat="false" ht="15" hidden="false" customHeight="false" outlineLevel="0" collapsed="false">
      <c r="A20" s="16" t="s">
        <v>409</v>
      </c>
      <c r="B20" s="23" t="n">
        <v>1.1</v>
      </c>
      <c r="C20" s="24" t="s">
        <v>406</v>
      </c>
      <c r="D20" s="25" t="s">
        <v>407</v>
      </c>
      <c r="E20" s="26" t="s">
        <v>73</v>
      </c>
    </row>
    <row r="21" customFormat="false" ht="19.5" hidden="false" customHeight="true" outlineLevel="0" collapsed="false">
      <c r="A21" s="49" t="s">
        <v>410</v>
      </c>
      <c r="B21" s="49"/>
      <c r="C21" s="49"/>
      <c r="D21" s="49"/>
      <c r="E21" s="49"/>
    </row>
    <row r="22" customFormat="false" ht="15" hidden="false" customHeight="false" outlineLevel="0" collapsed="false">
      <c r="A22" s="16" t="s">
        <v>411</v>
      </c>
      <c r="B22" s="27" t="s">
        <v>305</v>
      </c>
      <c r="C22" s="24" t="s">
        <v>84</v>
      </c>
      <c r="D22" s="25" t="s">
        <v>412</v>
      </c>
      <c r="E22" s="26" t="s">
        <v>73</v>
      </c>
    </row>
    <row r="23" customFormat="false" ht="22.35" hidden="false" customHeight="false" outlineLevel="0" collapsed="false">
      <c r="A23" s="16" t="s">
        <v>413</v>
      </c>
      <c r="B23" s="27" t="s">
        <v>414</v>
      </c>
      <c r="C23" s="24" t="s">
        <v>84</v>
      </c>
      <c r="D23" s="25" t="s">
        <v>415</v>
      </c>
      <c r="E23" s="26" t="s">
        <v>73</v>
      </c>
    </row>
    <row r="24" customFormat="false" ht="15" hidden="false" customHeight="false" outlineLevel="0" collapsed="false">
      <c r="A24" s="16" t="s">
        <v>416</v>
      </c>
      <c r="B24" s="27" t="s">
        <v>417</v>
      </c>
      <c r="C24" s="24" t="s">
        <v>84</v>
      </c>
      <c r="D24" s="25" t="s">
        <v>418</v>
      </c>
      <c r="E24" s="26" t="s">
        <v>73</v>
      </c>
    </row>
    <row r="25" customFormat="false" ht="15" hidden="false" customHeight="false" outlineLevel="0" collapsed="false">
      <c r="A25" s="16" t="s">
        <v>419</v>
      </c>
      <c r="B25" s="40" t="n">
        <f aca="false">IF(UNIT_SYSTEM="SI",100,73.7562149277266)</f>
        <v>100</v>
      </c>
      <c r="C25" s="24" t="str">
        <f aca="false">IF(UNIT_SYSTEM="SI","J","ft-lb")</f>
        <v>J</v>
      </c>
      <c r="D25" s="25"/>
      <c r="E25" s="26" t="s">
        <v>73</v>
      </c>
    </row>
    <row r="26" customFormat="false" ht="15" hidden="false" customHeight="false" outlineLevel="0" collapsed="false">
      <c r="A26" s="16" t="s">
        <v>420</v>
      </c>
      <c r="B26" s="27" t="s">
        <v>166</v>
      </c>
      <c r="C26" s="24" t="s">
        <v>84</v>
      </c>
      <c r="D26" s="25" t="s">
        <v>421</v>
      </c>
      <c r="E26" s="26" t="s">
        <v>73</v>
      </c>
    </row>
    <row r="27" customFormat="false" ht="15" hidden="false" customHeight="false" outlineLevel="0" collapsed="false">
      <c r="A27" s="16" t="s">
        <v>422</v>
      </c>
      <c r="B27" s="27"/>
      <c r="C27" s="24" t="str">
        <f aca="false">IF(UNIT_SYSTEM="SI","kJ/m² per mmⁿ","in-lb/in² per inⁿ")</f>
        <v>kJ/m² per mmⁿ</v>
      </c>
      <c r="D27" s="25" t="s">
        <v>423</v>
      </c>
      <c r="E27" s="26" t="s">
        <v>73</v>
      </c>
    </row>
    <row r="28" customFormat="false" ht="15" hidden="false" customHeight="false" outlineLevel="0" collapsed="false">
      <c r="A28" s="16" t="s">
        <v>424</v>
      </c>
      <c r="B28" s="27"/>
      <c r="C28" s="24" t="s">
        <v>84</v>
      </c>
      <c r="D28" s="25"/>
      <c r="E28" s="26" t="s">
        <v>73</v>
      </c>
    </row>
    <row r="29" customFormat="false" ht="15" hidden="false" customHeight="false" outlineLevel="0" collapsed="false">
      <c r="A29" s="16" t="s">
        <v>425</v>
      </c>
      <c r="B29" s="23" t="n">
        <f aca="false">IF(UNIT_SYSTEM="SI",3,0.118110236220472)</f>
        <v>3</v>
      </c>
      <c r="C29" s="24" t="str">
        <f aca="false">IF(UNIT_SYSTEM="SI","mm","in")</f>
        <v>mm</v>
      </c>
      <c r="D29" s="25" t="s">
        <v>426</v>
      </c>
      <c r="E29" s="26" t="s">
        <v>73</v>
      </c>
    </row>
    <row r="30" customFormat="false" ht="15" hidden="false" customHeight="false" outlineLevel="0" collapsed="false">
      <c r="A30" s="16" t="s">
        <v>427</v>
      </c>
      <c r="B30" s="23" t="n">
        <v>60</v>
      </c>
      <c r="C30" s="24" t="s">
        <v>345</v>
      </c>
      <c r="D30" s="25"/>
      <c r="E30" s="26" t="s">
        <v>73</v>
      </c>
    </row>
    <row r="31" customFormat="false" ht="15" hidden="false" customHeight="false" outlineLevel="0" collapsed="false">
      <c r="A31" s="16" t="s">
        <v>428</v>
      </c>
      <c r="B31" s="23" t="n">
        <v>5</v>
      </c>
      <c r="C31" s="24" t="s">
        <v>406</v>
      </c>
      <c r="D31" s="25" t="s">
        <v>429</v>
      </c>
      <c r="E31" s="26" t="s">
        <v>73</v>
      </c>
    </row>
    <row r="32" customFormat="false" ht="15" hidden="false" customHeight="false" outlineLevel="0" collapsed="false">
      <c r="A32" s="28" t="s">
        <v>430</v>
      </c>
      <c r="B32" s="31" t="str">
        <f aca="false">IFERROR(INDEX(DB_JR_Curves!$B:$B,MATCH(in_jr_record,DB_JR_Curves!$A:$A,0)),"")</f>
        <v>Generic CS-1</v>
      </c>
      <c r="C32" s="24"/>
      <c r="D32" s="25" t="s">
        <v>431</v>
      </c>
      <c r="E32" s="30" t="s">
        <v>82</v>
      </c>
    </row>
    <row r="33" customFormat="false" ht="15" hidden="false" customHeight="false" outlineLevel="0" collapsed="false">
      <c r="A33" s="28" t="s">
        <v>432</v>
      </c>
      <c r="B33" s="46" t="n">
        <f aca="false">IFERROR(INDEX(DB_JR_Curves!$C:$C,MATCH(in_jr_record,DB_JR_Curves!$A:$A,0)),"")</f>
        <v>288</v>
      </c>
      <c r="C33" s="24" t="str">
        <f aca="false">IF(UNIT_SYSTEM="SI","°C","°F")</f>
        <v>°C</v>
      </c>
      <c r="D33" s="25" t="s">
        <v>431</v>
      </c>
      <c r="E33" s="30" t="s">
        <v>82</v>
      </c>
    </row>
    <row r="34" customFormat="false" ht="15" hidden="false" customHeight="false" outlineLevel="0" collapsed="false">
      <c r="A34" s="28" t="s">
        <v>433</v>
      </c>
      <c r="B34" s="39" t="n">
        <f aca="false">IFERROR(INDEX(DB_JR_Curves!$D:$D,MATCH(in_jr_record,DB_JR_Curves!$A:$A,0)),"")</f>
        <v>25</v>
      </c>
      <c r="C34" s="24" t="str">
        <f aca="false">IF(UNIT_SYSTEM="SI","mm","in")</f>
        <v>mm</v>
      </c>
      <c r="D34" s="25" t="s">
        <v>431</v>
      </c>
      <c r="E34" s="30" t="s">
        <v>82</v>
      </c>
    </row>
    <row r="35" customFormat="false" ht="15" hidden="false" customHeight="false" outlineLevel="0" collapsed="false">
      <c r="A35" s="28" t="s">
        <v>434</v>
      </c>
      <c r="B35" s="46" t="n">
        <f aca="false">IFERROR(INDEX(DB_JR_Curves!$E:$E,MATCH(in_jr_record,DB_JR_Curves!$A:$A,0)),"")</f>
        <v>61</v>
      </c>
      <c r="C35" s="24" t="str">
        <f aca="false">IF(UNIT_SYSTEM="SI","kJ/m²","in-lb/in²")</f>
        <v>kJ/m²</v>
      </c>
      <c r="D35" s="25" t="s">
        <v>431</v>
      </c>
      <c r="E35" s="30" t="s">
        <v>82</v>
      </c>
    </row>
    <row r="36" customFormat="false" ht="15" hidden="false" customHeight="false" outlineLevel="0" collapsed="false">
      <c r="A36" s="28" t="s">
        <v>435</v>
      </c>
      <c r="B36" s="46" t="n">
        <f aca="false">IFERROR(INDEX(DB_JR_Curves!$F:$F,MATCH(in_jr_record,DB_JR_Curves!$A:$A,0)),"")</f>
        <v>129</v>
      </c>
      <c r="C36" s="24" t="str">
        <f aca="false">IF(UNIT_SYSTEM="SI","kJ/m² per mmⁿ","in-lb/in² per inⁿ")</f>
        <v>kJ/m² per mmⁿ</v>
      </c>
      <c r="D36" s="25" t="s">
        <v>431</v>
      </c>
      <c r="E36" s="30" t="s">
        <v>82</v>
      </c>
    </row>
    <row r="37" customFormat="false" ht="15" hidden="false" customHeight="false" outlineLevel="0" collapsed="false">
      <c r="A37" s="28" t="s">
        <v>436</v>
      </c>
      <c r="B37" s="51" t="n">
        <f aca="false">IFERROR(INDEX(DB_JR_Curves!$G:$G,MATCH(in_jr_record,DB_JR_Curves!$A:$A,0)),"")</f>
        <v>0.277</v>
      </c>
      <c r="C37" s="24" t="s">
        <v>84</v>
      </c>
      <c r="D37" s="25" t="s">
        <v>431</v>
      </c>
      <c r="E37" s="30" t="s">
        <v>82</v>
      </c>
    </row>
    <row r="38" customFormat="false" ht="27.75" hidden="false" customHeight="true" outlineLevel="0" collapsed="false">
      <c r="A38" s="7" t="s">
        <v>437</v>
      </c>
      <c r="B38" s="7"/>
      <c r="C38" s="7"/>
      <c r="D38" s="7"/>
      <c r="E38" s="7"/>
    </row>
  </sheetData>
  <mergeCells count="7">
    <mergeCell ref="A1:E1"/>
    <mergeCell ref="A2:E2"/>
    <mergeCell ref="A4:E4"/>
    <mergeCell ref="A15:E15"/>
    <mergeCell ref="A16:E16"/>
    <mergeCell ref="A21:E21"/>
    <mergeCell ref="A38:E38"/>
  </mergeCells>
  <dataValidations count="14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7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8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9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0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1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2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3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4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7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2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3" type="list">
      <formula1>L_JR_SOURCE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4" type="list">
      <formula1>L_JR_IDS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6" type="list">
      <formula1>L_LOWER_MEDIAN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A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7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9" min="7" style="0" width="26"/>
    <col collapsed="false" customWidth="true" hidden="false" outlineLevel="0" max="10" min="10" style="0" width="19"/>
    <col collapsed="false" customWidth="true" hidden="false" outlineLevel="0" max="11" min="11" style="0" width="18"/>
    <col collapsed="false" customWidth="true" hidden="false" outlineLevel="0" max="12" min="12" style="0" width="24"/>
    <col collapsed="false" customWidth="true" hidden="false" outlineLevel="0" max="13" min="13" style="0" width="28"/>
    <col collapsed="false" customWidth="true" hidden="false" outlineLevel="0" max="15" min="14" style="0" width="26"/>
    <col collapsed="false" customWidth="true" hidden="false" outlineLevel="0" max="16" min="16" style="0" width="12"/>
    <col collapsed="false" customWidth="true" hidden="false" outlineLevel="0" max="17" min="17" style="0" width="26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true" outlineLevel="0" max="23" min="20" style="0" width="21"/>
    <col collapsed="false" customWidth="true" hidden="true" outlineLevel="0" max="25" min="24" style="0" width="18"/>
    <col collapsed="false" customWidth="true" hidden="true" outlineLevel="0" max="26" min="26" style="0" width="28"/>
    <col collapsed="false" customWidth="true" hidden="true" outlineLevel="0" max="29" min="27" style="0" width="29"/>
    <col collapsed="false" customWidth="true" hidden="true" outlineLevel="0" max="30" min="30" style="0" width="28"/>
    <col collapsed="false" customWidth="true" hidden="true" outlineLevel="0" max="31" min="31" style="0" width="29"/>
  </cols>
  <sheetData>
    <row r="1" customFormat="false" ht="30" hidden="false" customHeight="true" outlineLevel="0" collapsed="false">
      <c r="A1" s="70" t="s">
        <v>438</v>
      </c>
      <c r="B1" s="70" t="s">
        <v>439</v>
      </c>
      <c r="C1" s="70" t="s">
        <v>440</v>
      </c>
      <c r="D1" s="70" t="s">
        <v>441</v>
      </c>
      <c r="E1" s="70" t="s">
        <v>442</v>
      </c>
      <c r="F1" s="70" t="s">
        <v>443</v>
      </c>
      <c r="G1" s="70" t="str">
        <f aca="false">IF(UNIT_SYSTEM="SI","SMYS (MPa)","SMYS (ksi)")</f>
        <v>SMYS (MPa)</v>
      </c>
      <c r="H1" s="70" t="str">
        <f aca="false">IF(UNIT_SYSTEM="SI","SMTS (MPa)","SMTS (ksi)")</f>
        <v>SMTS (MPa)</v>
      </c>
      <c r="I1" s="70" t="str">
        <f aca="false">IF(UNIT_SYSTEM="SI","E (MPa)","E (ksi)")</f>
        <v>E (MPa)</v>
      </c>
      <c r="J1" s="70" t="s">
        <v>444</v>
      </c>
      <c r="K1" s="70" t="s">
        <v>445</v>
      </c>
      <c r="L1" s="70" t="s">
        <v>446</v>
      </c>
      <c r="M1" s="70" t="s">
        <v>447</v>
      </c>
      <c r="N1" s="70" t="str">
        <f aca="false">IF(UNIT_SYSTEM="SI","Kmat (MPa√m)","Kmat (ksi√in)")</f>
        <v>Kmat (MPa√m)</v>
      </c>
      <c r="O1" s="70" t="str">
        <f aca="false">IF(UNIT_SYSTEM="SI","Paris C (mm/cycle)","Paris C (in/cycle)")</f>
        <v>Paris C (mm/cycle)</v>
      </c>
      <c r="P1" s="70" t="s">
        <v>448</v>
      </c>
      <c r="Q1" s="70" t="str">
        <f aca="false">IF(UNIT_SYSTEM="SI","dKth (MPa√m)","dKth (ksi√in)")</f>
        <v>dKth (MPa√m)</v>
      </c>
      <c r="R1" s="70" t="s">
        <v>449</v>
      </c>
      <c r="S1" s="70" t="s">
        <v>450</v>
      </c>
      <c r="T1" s="71" t="s">
        <v>451</v>
      </c>
      <c r="U1" s="71" t="s">
        <v>452</v>
      </c>
      <c r="V1" s="71" t="s">
        <v>453</v>
      </c>
      <c r="W1" s="71" t="s">
        <v>454</v>
      </c>
      <c r="X1" s="71" t="s">
        <v>455</v>
      </c>
      <c r="Y1" s="71" t="s">
        <v>456</v>
      </c>
      <c r="Z1" s="71" t="s">
        <v>457</v>
      </c>
      <c r="AA1" s="71" t="s">
        <v>458</v>
      </c>
      <c r="AB1" s="71" t="s">
        <v>459</v>
      </c>
      <c r="AC1" s="71" t="s">
        <v>460</v>
      </c>
      <c r="AD1" s="71" t="s">
        <v>461</v>
      </c>
      <c r="AE1" s="71" t="s">
        <v>462</v>
      </c>
    </row>
    <row r="2" customFormat="false" ht="15" hidden="false" customHeight="false" outlineLevel="0" collapsed="false">
      <c r="A2" s="72" t="s">
        <v>97</v>
      </c>
      <c r="B2" s="72" t="s">
        <v>463</v>
      </c>
      <c r="C2" s="72" t="s">
        <v>464</v>
      </c>
      <c r="D2" s="72" t="s">
        <v>465</v>
      </c>
      <c r="E2" s="72" t="s">
        <v>84</v>
      </c>
      <c r="F2" s="72" t="s">
        <v>463</v>
      </c>
      <c r="G2" s="73" t="n">
        <f aca="false">IF(UNIT_SYSTEM="SI",IF(T2="","",T2),IF(U2="","",U2))</f>
        <v>350</v>
      </c>
      <c r="H2" s="73" t="n">
        <f aca="false">IF(UNIT_SYSTEM="SI",IF(V2="","",V2),IF(W2="","",W2))</f>
        <v>500</v>
      </c>
      <c r="I2" s="73" t="n">
        <f aca="false">IF(UNIT_SYSTEM="SI",IF(X2="","",X2),IF(Y2="","",Y2))</f>
        <v>200000</v>
      </c>
      <c r="J2" s="72" t="s">
        <v>466</v>
      </c>
      <c r="K2" s="72" t="s">
        <v>467</v>
      </c>
      <c r="L2" s="72" t="s">
        <v>468</v>
      </c>
      <c r="M2" s="72" t="s">
        <v>150</v>
      </c>
      <c r="N2" s="73" t="n">
        <f aca="false">IF(UNIT_SYSTEM="SI",IF(Z2="","",Z2),IF(AA2="","",AA2))</f>
        <v>100</v>
      </c>
      <c r="O2" s="74" t="n">
        <f aca="false">IF(UNIT_SYSTEM="SI",IF(AB2="","",AB2),IF(AC2="","",AC2))</f>
        <v>2E-009</v>
      </c>
      <c r="P2" s="75" t="n">
        <v>3</v>
      </c>
      <c r="Q2" s="75" t="n">
        <f aca="false">IF(UNIT_SYSTEM="SI",IF(AD2="","",AD2),IF(AE2="","",AE2))</f>
        <v>5</v>
      </c>
      <c r="R2" s="72" t="s">
        <v>137</v>
      </c>
      <c r="S2" s="72" t="s">
        <v>469</v>
      </c>
      <c r="T2" s="76" t="n">
        <v>350</v>
      </c>
      <c r="U2" s="77" t="n">
        <v>50.7632082055732</v>
      </c>
      <c r="V2" s="76" t="n">
        <v>500</v>
      </c>
      <c r="W2" s="77" t="n">
        <v>72.5188688651046</v>
      </c>
      <c r="X2" s="76" t="n">
        <v>200000</v>
      </c>
      <c r="Y2" s="78" t="n">
        <v>29007.5475460419</v>
      </c>
      <c r="Z2" s="76" t="n">
        <v>100</v>
      </c>
      <c r="AA2" s="77" t="n">
        <v>91.0047705029255</v>
      </c>
      <c r="AB2" s="79" t="n">
        <v>2E-009</v>
      </c>
      <c r="AC2" s="79" t="n">
        <v>1.04472936680105E-010</v>
      </c>
      <c r="AD2" s="77" t="n">
        <v>5</v>
      </c>
      <c r="AE2" s="77" t="n">
        <v>4.55023852514628</v>
      </c>
    </row>
    <row r="3" customFormat="false" ht="15" hidden="false" customHeight="false" outlineLevel="0" collapsed="false">
      <c r="A3" s="80" t="s">
        <v>470</v>
      </c>
      <c r="B3" s="80" t="s">
        <v>470</v>
      </c>
      <c r="C3" s="80" t="s">
        <v>84</v>
      </c>
      <c r="D3" s="80" t="s">
        <v>471</v>
      </c>
      <c r="E3" s="80" t="s">
        <v>472</v>
      </c>
      <c r="F3" s="80" t="s">
        <v>473</v>
      </c>
      <c r="G3" s="81" t="n">
        <f aca="false">IF(UNIT_SYSTEM="SI",IF(T3="","",T3),IF(U3="","",U3))</f>
        <v>250</v>
      </c>
      <c r="H3" s="81" t="n">
        <f aca="false">IF(UNIT_SYSTEM="SI",IF(V3="","",V3),IF(W3="","",W3))</f>
        <v>400</v>
      </c>
      <c r="I3" s="81" t="n">
        <f aca="false">IF(UNIT_SYSTEM="SI",IF(X3="","",X3),IF(Y3="","",Y3))</f>
        <v>200000</v>
      </c>
      <c r="J3" s="80" t="s">
        <v>353</v>
      </c>
      <c r="K3" s="80" t="s">
        <v>474</v>
      </c>
      <c r="L3" s="80" t="s">
        <v>475</v>
      </c>
      <c r="M3" s="80" t="s">
        <v>476</v>
      </c>
      <c r="N3" s="80" t="str">
        <f aca="false">IF(UNIT_SYSTEM="SI",IF(Z3="","",Z3),IF(AA3="","",AA3))</f>
        <v/>
      </c>
      <c r="O3" s="80" t="str">
        <f aca="false">IF(UNIT_SYSTEM="SI",IF(AB3="","",AB3),IF(AC3="","",AC3))</f>
        <v/>
      </c>
      <c r="P3" s="80"/>
      <c r="Q3" s="80" t="str">
        <f aca="false">IF(UNIT_SYSTEM="SI",IF(AD3="","",AD3),IF(AE3="","",AE3))</f>
        <v/>
      </c>
      <c r="R3" s="80" t="s">
        <v>477</v>
      </c>
      <c r="S3" s="80"/>
      <c r="T3" s="82" t="n">
        <v>250</v>
      </c>
      <c r="U3" s="83" t="n">
        <v>36</v>
      </c>
      <c r="V3" s="82" t="n">
        <v>400</v>
      </c>
      <c r="W3" s="83" t="n">
        <v>58</v>
      </c>
      <c r="X3" s="82" t="n">
        <v>200000</v>
      </c>
      <c r="Y3" s="84" t="n">
        <v>29007.5</v>
      </c>
      <c r="Z3" s="85"/>
      <c r="AA3" s="85"/>
      <c r="AB3" s="85"/>
      <c r="AC3" s="85"/>
      <c r="AD3" s="85"/>
      <c r="AE3" s="85" t="s">
        <v>137</v>
      </c>
    </row>
    <row r="4" customFormat="false" ht="15" hidden="false" customHeight="false" outlineLevel="0" collapsed="false">
      <c r="A4" s="72" t="s">
        <v>478</v>
      </c>
      <c r="B4" s="72" t="s">
        <v>479</v>
      </c>
      <c r="C4" s="72" t="s">
        <v>480</v>
      </c>
      <c r="D4" s="72" t="s">
        <v>481</v>
      </c>
      <c r="E4" s="72" t="s">
        <v>472</v>
      </c>
      <c r="F4" s="72" t="s">
        <v>473</v>
      </c>
      <c r="G4" s="73" t="n">
        <f aca="false">IF(UNIT_SYSTEM="SI",IF(T4="","",T4),IF(U4="","",U4))</f>
        <v>205</v>
      </c>
      <c r="H4" s="73" t="n">
        <f aca="false">IF(UNIT_SYSTEM="SI",IF(V4="","",V4),IF(W4="","",W4))</f>
        <v>380</v>
      </c>
      <c r="I4" s="73" t="n">
        <f aca="false">IF(UNIT_SYSTEM="SI",IF(X4="","",X4),IF(Y4="","",Y4))</f>
        <v>200000</v>
      </c>
      <c r="J4" s="72" t="s">
        <v>353</v>
      </c>
      <c r="K4" s="72" t="s">
        <v>474</v>
      </c>
      <c r="L4" s="72" t="s">
        <v>475</v>
      </c>
      <c r="M4" s="72" t="s">
        <v>476</v>
      </c>
      <c r="N4" s="72" t="str">
        <f aca="false">IF(UNIT_SYSTEM="SI",IF(Z4="","",Z4),IF(AA4="","",AA4))</f>
        <v/>
      </c>
      <c r="O4" s="72" t="str">
        <f aca="false">IF(UNIT_SYSTEM="SI",IF(AB4="","",AB4),IF(AC4="","",AC4))</f>
        <v/>
      </c>
      <c r="P4" s="72"/>
      <c r="Q4" s="72" t="str">
        <f aca="false">IF(UNIT_SYSTEM="SI",IF(AD4="","",AD4),IF(AE4="","",AE4))</f>
        <v/>
      </c>
      <c r="R4" s="72" t="s">
        <v>482</v>
      </c>
      <c r="S4" s="72"/>
      <c r="T4" s="76" t="n">
        <v>205</v>
      </c>
      <c r="U4" s="77" t="n">
        <v>30</v>
      </c>
      <c r="V4" s="76" t="n">
        <v>380</v>
      </c>
      <c r="W4" s="77" t="n">
        <v>55</v>
      </c>
      <c r="X4" s="76" t="n">
        <v>200000</v>
      </c>
      <c r="Y4" s="78" t="n">
        <v>29007.5</v>
      </c>
      <c r="Z4" s="86"/>
      <c r="AA4" s="86"/>
      <c r="AB4" s="86"/>
      <c r="AC4" s="86"/>
      <c r="AD4" s="86"/>
      <c r="AE4" s="86" t="s">
        <v>137</v>
      </c>
    </row>
    <row r="5" customFormat="false" ht="15" hidden="false" customHeight="false" outlineLevel="0" collapsed="false">
      <c r="A5" s="80" t="s">
        <v>483</v>
      </c>
      <c r="B5" s="80" t="s">
        <v>484</v>
      </c>
      <c r="C5" s="80" t="s">
        <v>485</v>
      </c>
      <c r="D5" s="80" t="s">
        <v>481</v>
      </c>
      <c r="E5" s="80" t="s">
        <v>472</v>
      </c>
      <c r="F5" s="80" t="s">
        <v>473</v>
      </c>
      <c r="G5" s="81" t="n">
        <f aca="false">IF(UNIT_SYSTEM="SI",IF(T5="","",T5),IF(U5="","",U5))</f>
        <v>220</v>
      </c>
      <c r="H5" s="81" t="n">
        <f aca="false">IF(UNIT_SYSTEM="SI",IF(V5="","",V5),IF(W5="","",W5))</f>
        <v>415</v>
      </c>
      <c r="I5" s="81" t="n">
        <f aca="false">IF(UNIT_SYSTEM="SI",IF(X5="","",X5),IF(Y5="","",Y5))</f>
        <v>200000</v>
      </c>
      <c r="J5" s="80" t="s">
        <v>207</v>
      </c>
      <c r="K5" s="80" t="s">
        <v>474</v>
      </c>
      <c r="L5" s="80" t="s">
        <v>475</v>
      </c>
      <c r="M5" s="80" t="s">
        <v>476</v>
      </c>
      <c r="N5" s="80" t="str">
        <f aca="false">IF(UNIT_SYSTEM="SI",IF(Z5="","",Z5),IF(AA5="","",AA5))</f>
        <v/>
      </c>
      <c r="O5" s="80" t="str">
        <f aca="false">IF(UNIT_SYSTEM="SI",IF(AB5="","",AB5),IF(AC5="","",AC5))</f>
        <v/>
      </c>
      <c r="P5" s="80"/>
      <c r="Q5" s="80" t="str">
        <f aca="false">IF(UNIT_SYSTEM="SI",IF(AD5="","",AD5),IF(AE5="","",AE5))</f>
        <v/>
      </c>
      <c r="R5" s="80" t="s">
        <v>486</v>
      </c>
      <c r="S5" s="80"/>
      <c r="T5" s="82" t="n">
        <v>220</v>
      </c>
      <c r="U5" s="83" t="n">
        <v>32</v>
      </c>
      <c r="V5" s="82" t="n">
        <v>415</v>
      </c>
      <c r="W5" s="83" t="n">
        <v>60</v>
      </c>
      <c r="X5" s="82" t="n">
        <v>200000</v>
      </c>
      <c r="Y5" s="84" t="n">
        <v>29007.5</v>
      </c>
      <c r="Z5" s="85"/>
      <c r="AA5" s="85"/>
      <c r="AB5" s="85"/>
      <c r="AC5" s="85"/>
      <c r="AD5" s="85"/>
      <c r="AE5" s="85" t="s">
        <v>137</v>
      </c>
    </row>
    <row r="6" customFormat="false" ht="15" hidden="false" customHeight="false" outlineLevel="0" collapsed="false">
      <c r="A6" s="72" t="s">
        <v>487</v>
      </c>
      <c r="B6" s="72" t="s">
        <v>484</v>
      </c>
      <c r="C6" s="72" t="s">
        <v>488</v>
      </c>
      <c r="D6" s="72" t="s">
        <v>481</v>
      </c>
      <c r="E6" s="72" t="s">
        <v>472</v>
      </c>
      <c r="F6" s="72" t="s">
        <v>473</v>
      </c>
      <c r="G6" s="73" t="n">
        <f aca="false">IF(UNIT_SYSTEM="SI",IF(T6="","",T6),IF(U6="","",U6))</f>
        <v>260</v>
      </c>
      <c r="H6" s="73" t="n">
        <f aca="false">IF(UNIT_SYSTEM="SI",IF(V6="","",V6),IF(W6="","",W6))</f>
        <v>485</v>
      </c>
      <c r="I6" s="73" t="n">
        <f aca="false">IF(UNIT_SYSTEM="SI",IF(X6="","",X6),IF(Y6="","",Y6))</f>
        <v>200000</v>
      </c>
      <c r="J6" s="72" t="s">
        <v>353</v>
      </c>
      <c r="K6" s="72" t="s">
        <v>474</v>
      </c>
      <c r="L6" s="72" t="s">
        <v>475</v>
      </c>
      <c r="M6" s="72" t="s">
        <v>476</v>
      </c>
      <c r="N6" s="72" t="str">
        <f aca="false">IF(UNIT_SYSTEM="SI",IF(Z6="","",Z6),IF(AA6="","",AA6))</f>
        <v/>
      </c>
      <c r="O6" s="72" t="str">
        <f aca="false">IF(UNIT_SYSTEM="SI",IF(AB6="","",AB6),IF(AC6="","",AC6))</f>
        <v/>
      </c>
      <c r="P6" s="72"/>
      <c r="Q6" s="72" t="str">
        <f aca="false">IF(UNIT_SYSTEM="SI",IF(AD6="","",AD6),IF(AE6="","",AE6))</f>
        <v/>
      </c>
      <c r="R6" s="72" t="s">
        <v>489</v>
      </c>
      <c r="S6" s="72"/>
      <c r="T6" s="76" t="n">
        <v>260</v>
      </c>
      <c r="U6" s="77" t="n">
        <v>38</v>
      </c>
      <c r="V6" s="76" t="n">
        <v>485</v>
      </c>
      <c r="W6" s="77" t="n">
        <v>70</v>
      </c>
      <c r="X6" s="76" t="n">
        <v>200000</v>
      </c>
      <c r="Y6" s="78" t="n">
        <v>29007.5</v>
      </c>
      <c r="Z6" s="86"/>
      <c r="AA6" s="86"/>
      <c r="AB6" s="86"/>
      <c r="AC6" s="86"/>
      <c r="AD6" s="86"/>
      <c r="AE6" s="86" t="s">
        <v>137</v>
      </c>
    </row>
    <row r="7" customFormat="false" ht="15" hidden="false" customHeight="false" outlineLevel="0" collapsed="false">
      <c r="A7" s="80" t="s">
        <v>490</v>
      </c>
      <c r="B7" s="80" t="s">
        <v>491</v>
      </c>
      <c r="C7" s="80" t="s">
        <v>492</v>
      </c>
      <c r="D7" s="80" t="s">
        <v>481</v>
      </c>
      <c r="E7" s="80" t="s">
        <v>493</v>
      </c>
      <c r="F7" s="80" t="s">
        <v>473</v>
      </c>
      <c r="G7" s="81" t="n">
        <f aca="false">IF(UNIT_SYSTEM="SI",IF(T7="","",T7),IF(U7="","",U7))</f>
        <v>205</v>
      </c>
      <c r="H7" s="81" t="n">
        <f aca="false">IF(UNIT_SYSTEM="SI",IF(V7="","",V7),IF(W7="","",W7))</f>
        <v>380</v>
      </c>
      <c r="I7" s="81" t="n">
        <f aca="false">IF(UNIT_SYSTEM="SI",IF(X7="","",X7),IF(Y7="","",Y7))</f>
        <v>200000</v>
      </c>
      <c r="J7" s="80" t="s">
        <v>354</v>
      </c>
      <c r="K7" s="80" t="s">
        <v>474</v>
      </c>
      <c r="L7" s="80" t="s">
        <v>475</v>
      </c>
      <c r="M7" s="80" t="s">
        <v>476</v>
      </c>
      <c r="N7" s="80" t="str">
        <f aca="false">IF(UNIT_SYSTEM="SI",IF(Z7="","",Z7),IF(AA7="","",AA7))</f>
        <v/>
      </c>
      <c r="O7" s="80" t="str">
        <f aca="false">IF(UNIT_SYSTEM="SI",IF(AB7="","",AB7),IF(AC7="","",AC7))</f>
        <v/>
      </c>
      <c r="P7" s="80"/>
      <c r="Q7" s="80" t="str">
        <f aca="false">IF(UNIT_SYSTEM="SI",IF(AD7="","",AD7),IF(AE7="","",AE7))</f>
        <v/>
      </c>
      <c r="R7" s="80" t="s">
        <v>486</v>
      </c>
      <c r="S7" s="80"/>
      <c r="T7" s="82" t="n">
        <v>205</v>
      </c>
      <c r="U7" s="83" t="n">
        <v>30</v>
      </c>
      <c r="V7" s="82" t="n">
        <v>380</v>
      </c>
      <c r="W7" s="83" t="n">
        <v>55</v>
      </c>
      <c r="X7" s="82" t="n">
        <v>200000</v>
      </c>
      <c r="Y7" s="84" t="n">
        <v>29007.5</v>
      </c>
      <c r="Z7" s="85"/>
      <c r="AA7" s="85"/>
      <c r="AB7" s="85"/>
      <c r="AC7" s="85"/>
      <c r="AD7" s="85"/>
      <c r="AE7" s="85" t="s">
        <v>137</v>
      </c>
    </row>
    <row r="8" customFormat="false" ht="15" hidden="false" customHeight="false" outlineLevel="0" collapsed="false">
      <c r="A8" s="72" t="s">
        <v>494</v>
      </c>
      <c r="B8" s="72" t="s">
        <v>491</v>
      </c>
      <c r="C8" s="72" t="s">
        <v>485</v>
      </c>
      <c r="D8" s="72" t="s">
        <v>481</v>
      </c>
      <c r="E8" s="72" t="s">
        <v>493</v>
      </c>
      <c r="F8" s="72" t="s">
        <v>473</v>
      </c>
      <c r="G8" s="73" t="n">
        <f aca="false">IF(UNIT_SYSTEM="SI",IF(T8="","",T8),IF(U8="","",U8))</f>
        <v>220</v>
      </c>
      <c r="H8" s="73" t="n">
        <f aca="false">IF(UNIT_SYSTEM="SI",IF(V8="","",V8),IF(W8="","",W8))</f>
        <v>415</v>
      </c>
      <c r="I8" s="73" t="n">
        <f aca="false">IF(UNIT_SYSTEM="SI",IF(X8="","",X8),IF(Y8="","",Y8))</f>
        <v>200000</v>
      </c>
      <c r="J8" s="72" t="s">
        <v>354</v>
      </c>
      <c r="K8" s="72" t="s">
        <v>474</v>
      </c>
      <c r="L8" s="72" t="s">
        <v>475</v>
      </c>
      <c r="M8" s="72" t="s">
        <v>476</v>
      </c>
      <c r="N8" s="72" t="str">
        <f aca="false">IF(UNIT_SYSTEM="SI",IF(Z8="","",Z8),IF(AA8="","",AA8))</f>
        <v/>
      </c>
      <c r="O8" s="72" t="str">
        <f aca="false">IF(UNIT_SYSTEM="SI",IF(AB8="","",AB8),IF(AC8="","",AC8))</f>
        <v/>
      </c>
      <c r="P8" s="72"/>
      <c r="Q8" s="72" t="str">
        <f aca="false">IF(UNIT_SYSTEM="SI",IF(AD8="","",AD8),IF(AE8="","",AE8))</f>
        <v/>
      </c>
      <c r="R8" s="72" t="s">
        <v>486</v>
      </c>
      <c r="S8" s="72"/>
      <c r="T8" s="76" t="n">
        <v>220</v>
      </c>
      <c r="U8" s="77" t="n">
        <v>32</v>
      </c>
      <c r="V8" s="76" t="n">
        <v>415</v>
      </c>
      <c r="W8" s="77" t="n">
        <v>60</v>
      </c>
      <c r="X8" s="76" t="n">
        <v>200000</v>
      </c>
      <c r="Y8" s="78" t="n">
        <v>29007.5</v>
      </c>
      <c r="Z8" s="86"/>
      <c r="AA8" s="86"/>
      <c r="AB8" s="86"/>
      <c r="AC8" s="86"/>
      <c r="AD8" s="86"/>
      <c r="AE8" s="86" t="s">
        <v>137</v>
      </c>
    </row>
    <row r="9" customFormat="false" ht="15" hidden="false" customHeight="false" outlineLevel="0" collapsed="false">
      <c r="A9" s="80" t="s">
        <v>495</v>
      </c>
      <c r="B9" s="80" t="s">
        <v>491</v>
      </c>
      <c r="C9" s="80" t="s">
        <v>496</v>
      </c>
      <c r="D9" s="80" t="s">
        <v>481</v>
      </c>
      <c r="E9" s="80" t="s">
        <v>493</v>
      </c>
      <c r="F9" s="80" t="s">
        <v>473</v>
      </c>
      <c r="G9" s="81" t="n">
        <f aca="false">IF(UNIT_SYSTEM="SI",IF(T9="","",T9),IF(U9="","",U9))</f>
        <v>240</v>
      </c>
      <c r="H9" s="81" t="n">
        <f aca="false">IF(UNIT_SYSTEM="SI",IF(V9="","",V9),IF(W9="","",W9))</f>
        <v>450</v>
      </c>
      <c r="I9" s="81" t="n">
        <f aca="false">IF(UNIT_SYSTEM="SI",IF(X9="","",X9),IF(Y9="","",Y9))</f>
        <v>200000</v>
      </c>
      <c r="J9" s="80" t="s">
        <v>207</v>
      </c>
      <c r="K9" s="80" t="s">
        <v>474</v>
      </c>
      <c r="L9" s="80" t="s">
        <v>475</v>
      </c>
      <c r="M9" s="80" t="s">
        <v>476</v>
      </c>
      <c r="N9" s="80" t="str">
        <f aca="false">IF(UNIT_SYSTEM="SI",IF(Z9="","",Z9),IF(AA9="","",AA9))</f>
        <v/>
      </c>
      <c r="O9" s="80" t="str">
        <f aca="false">IF(UNIT_SYSTEM="SI",IF(AB9="","",AB9),IF(AC9="","",AC9))</f>
        <v/>
      </c>
      <c r="P9" s="80"/>
      <c r="Q9" s="80" t="str">
        <f aca="false">IF(UNIT_SYSTEM="SI",IF(AD9="","",AD9),IF(AE9="","",AE9))</f>
        <v/>
      </c>
      <c r="R9" s="80" t="s">
        <v>486</v>
      </c>
      <c r="S9" s="80"/>
      <c r="T9" s="82" t="n">
        <v>240</v>
      </c>
      <c r="U9" s="83" t="n">
        <v>35</v>
      </c>
      <c r="V9" s="82" t="n">
        <v>450</v>
      </c>
      <c r="W9" s="83" t="n">
        <v>65</v>
      </c>
      <c r="X9" s="82" t="n">
        <v>200000</v>
      </c>
      <c r="Y9" s="84" t="n">
        <v>29007.5</v>
      </c>
      <c r="Z9" s="85"/>
      <c r="AA9" s="85"/>
      <c r="AB9" s="85"/>
      <c r="AC9" s="85"/>
      <c r="AD9" s="85"/>
      <c r="AE9" s="85" t="s">
        <v>137</v>
      </c>
    </row>
    <row r="10" customFormat="false" ht="15" hidden="false" customHeight="false" outlineLevel="0" collapsed="false">
      <c r="A10" s="72" t="s">
        <v>497</v>
      </c>
      <c r="B10" s="72" t="s">
        <v>491</v>
      </c>
      <c r="C10" s="72" t="s">
        <v>488</v>
      </c>
      <c r="D10" s="72" t="s">
        <v>481</v>
      </c>
      <c r="E10" s="72" t="s">
        <v>493</v>
      </c>
      <c r="F10" s="72" t="s">
        <v>473</v>
      </c>
      <c r="G10" s="73" t="n">
        <f aca="false">IF(UNIT_SYSTEM="SI",IF(T10="","",T10),IF(U10="","",U10))</f>
        <v>260</v>
      </c>
      <c r="H10" s="73" t="n">
        <f aca="false">IF(UNIT_SYSTEM="SI",IF(V10="","",V10),IF(W10="","",W10))</f>
        <v>485</v>
      </c>
      <c r="I10" s="73" t="n">
        <f aca="false">IF(UNIT_SYSTEM="SI",IF(X10="","",X10),IF(Y10="","",Y10))</f>
        <v>200000</v>
      </c>
      <c r="J10" s="72" t="s">
        <v>207</v>
      </c>
      <c r="K10" s="72" t="s">
        <v>474</v>
      </c>
      <c r="L10" s="72" t="s">
        <v>475</v>
      </c>
      <c r="M10" s="72" t="s">
        <v>476</v>
      </c>
      <c r="N10" s="72" t="str">
        <f aca="false">IF(UNIT_SYSTEM="SI",IF(Z10="","",Z10),IF(AA10="","",AA10))</f>
        <v/>
      </c>
      <c r="O10" s="72" t="str">
        <f aca="false">IF(UNIT_SYSTEM="SI",IF(AB10="","",AB10),IF(AC10="","",AC10))</f>
        <v/>
      </c>
      <c r="P10" s="72"/>
      <c r="Q10" s="72" t="str">
        <f aca="false">IF(UNIT_SYSTEM="SI",IF(AD10="","",AD10),IF(AE10="","",AE10))</f>
        <v/>
      </c>
      <c r="R10" s="72" t="s">
        <v>486</v>
      </c>
      <c r="S10" s="72"/>
      <c r="T10" s="76" t="n">
        <v>260</v>
      </c>
      <c r="U10" s="77" t="n">
        <v>38</v>
      </c>
      <c r="V10" s="76" t="n">
        <v>485</v>
      </c>
      <c r="W10" s="77" t="n">
        <v>70</v>
      </c>
      <c r="X10" s="76" t="n">
        <v>200000</v>
      </c>
      <c r="Y10" s="78" t="n">
        <v>29007.5</v>
      </c>
      <c r="Z10" s="86"/>
      <c r="AA10" s="86"/>
      <c r="AB10" s="86"/>
      <c r="AC10" s="86"/>
      <c r="AD10" s="86"/>
      <c r="AE10" s="86" t="s">
        <v>137</v>
      </c>
    </row>
    <row r="11" customFormat="false" ht="15" hidden="false" customHeight="false" outlineLevel="0" collapsed="false">
      <c r="A11" s="80" t="s">
        <v>498</v>
      </c>
      <c r="B11" s="80" t="s">
        <v>491</v>
      </c>
      <c r="C11" s="80" t="s">
        <v>488</v>
      </c>
      <c r="D11" s="80" t="s">
        <v>481</v>
      </c>
      <c r="E11" s="80" t="s">
        <v>499</v>
      </c>
      <c r="F11" s="80" t="s">
        <v>473</v>
      </c>
      <c r="G11" s="81" t="n">
        <f aca="false">IF(UNIT_SYSTEM="SI",IF(T11="","",T11),IF(U11="","",U11))</f>
        <v>260</v>
      </c>
      <c r="H11" s="81" t="n">
        <f aca="false">IF(UNIT_SYSTEM="SI",IF(V11="","",V11),IF(W11="","",W11))</f>
        <v>485</v>
      </c>
      <c r="I11" s="81" t="n">
        <f aca="false">IF(UNIT_SYSTEM="SI",IF(X11="","",X11),IF(Y11="","",Y11))</f>
        <v>200000</v>
      </c>
      <c r="J11" s="80" t="s">
        <v>355</v>
      </c>
      <c r="K11" s="80" t="s">
        <v>474</v>
      </c>
      <c r="L11" s="80" t="s">
        <v>475</v>
      </c>
      <c r="M11" s="80" t="s">
        <v>476</v>
      </c>
      <c r="N11" s="80" t="str">
        <f aca="false">IF(UNIT_SYSTEM="SI",IF(Z11="","",Z11),IF(AA11="","",AA11))</f>
        <v/>
      </c>
      <c r="O11" s="80" t="str">
        <f aca="false">IF(UNIT_SYSTEM="SI",IF(AB11="","",AB11),IF(AC11="","",AC11))</f>
        <v/>
      </c>
      <c r="P11" s="80"/>
      <c r="Q11" s="80" t="str">
        <f aca="false">IF(UNIT_SYSTEM="SI",IF(AD11="","",AD11),IF(AE11="","",AE11))</f>
        <v/>
      </c>
      <c r="R11" s="80" t="s">
        <v>486</v>
      </c>
      <c r="S11" s="80"/>
      <c r="T11" s="82" t="n">
        <v>260</v>
      </c>
      <c r="U11" s="83" t="n">
        <v>38</v>
      </c>
      <c r="V11" s="82" t="n">
        <v>485</v>
      </c>
      <c r="W11" s="83" t="n">
        <v>70</v>
      </c>
      <c r="X11" s="82" t="n">
        <v>200000</v>
      </c>
      <c r="Y11" s="84" t="n">
        <v>29007.5</v>
      </c>
      <c r="Z11" s="85"/>
      <c r="AA11" s="85"/>
      <c r="AB11" s="85"/>
      <c r="AC11" s="85"/>
      <c r="AD11" s="85"/>
      <c r="AE11" s="85" t="s">
        <v>137</v>
      </c>
    </row>
    <row r="12" customFormat="false" ht="15" hidden="false" customHeight="false" outlineLevel="0" collapsed="false">
      <c r="A12" s="72" t="s">
        <v>500</v>
      </c>
      <c r="B12" s="72" t="s">
        <v>501</v>
      </c>
      <c r="C12" s="72" t="s">
        <v>502</v>
      </c>
      <c r="D12" s="72" t="s">
        <v>481</v>
      </c>
      <c r="E12" s="72" t="s">
        <v>499</v>
      </c>
      <c r="F12" s="72" t="s">
        <v>473</v>
      </c>
      <c r="G12" s="73" t="n">
        <f aca="false">IF(UNIT_SYSTEM="SI",IF(T12="","",T12),IF(U12="","",U12))</f>
        <v>345</v>
      </c>
      <c r="H12" s="73" t="n">
        <f aca="false">IF(UNIT_SYSTEM="SI",IF(V12="","",V12),IF(W12="","",W12))</f>
        <v>485</v>
      </c>
      <c r="I12" s="73" t="n">
        <f aca="false">IF(UNIT_SYSTEM="SI",IF(X12="","",X12),IF(Y12="","",Y12))</f>
        <v>200000</v>
      </c>
      <c r="J12" s="72" t="s">
        <v>355</v>
      </c>
      <c r="K12" s="72" t="s">
        <v>474</v>
      </c>
      <c r="L12" s="72" t="s">
        <v>475</v>
      </c>
      <c r="M12" s="72" t="s">
        <v>476</v>
      </c>
      <c r="N12" s="72" t="str">
        <f aca="false">IF(UNIT_SYSTEM="SI",IF(Z12="","",Z12),IF(AA12="","",AA12))</f>
        <v/>
      </c>
      <c r="O12" s="72" t="str">
        <f aca="false">IF(UNIT_SYSTEM="SI",IF(AB12="","",AB12),IF(AC12="","",AC12))</f>
        <v/>
      </c>
      <c r="P12" s="72"/>
      <c r="Q12" s="72" t="str">
        <f aca="false">IF(UNIT_SYSTEM="SI",IF(AD12="","",AD12),IF(AE12="","",AE12))</f>
        <v/>
      </c>
      <c r="R12" s="72" t="s">
        <v>503</v>
      </c>
      <c r="S12" s="72"/>
      <c r="T12" s="76" t="n">
        <v>345</v>
      </c>
      <c r="U12" s="77" t="n">
        <v>50</v>
      </c>
      <c r="V12" s="76" t="n">
        <v>485</v>
      </c>
      <c r="W12" s="77" t="n">
        <v>70</v>
      </c>
      <c r="X12" s="76" t="n">
        <v>200000</v>
      </c>
      <c r="Y12" s="78" t="n">
        <v>29007.5</v>
      </c>
      <c r="Z12" s="86"/>
      <c r="AA12" s="86"/>
      <c r="AB12" s="86"/>
      <c r="AC12" s="86"/>
      <c r="AD12" s="86"/>
      <c r="AE12" s="86" t="s">
        <v>137</v>
      </c>
    </row>
    <row r="13" customFormat="false" ht="15" hidden="false" customHeight="false" outlineLevel="0" collapsed="false">
      <c r="A13" s="80" t="s">
        <v>504</v>
      </c>
      <c r="B13" s="80" t="s">
        <v>505</v>
      </c>
      <c r="C13" s="80" t="s">
        <v>506</v>
      </c>
      <c r="D13" s="80" t="s">
        <v>507</v>
      </c>
      <c r="E13" s="80" t="s">
        <v>84</v>
      </c>
      <c r="F13" s="80" t="s">
        <v>473</v>
      </c>
      <c r="G13" s="81" t="n">
        <f aca="false">IF(UNIT_SYSTEM="SI",IF(T13="","",T13),IF(U13="","",U13))</f>
        <v>240</v>
      </c>
      <c r="H13" s="81" t="n">
        <f aca="false">IF(UNIT_SYSTEM="SI",IF(V13="","",V13),IF(W13="","",W13))</f>
        <v>415</v>
      </c>
      <c r="I13" s="81" t="n">
        <f aca="false">IF(UNIT_SYSTEM="SI",IF(X13="","",X13),IF(Y13="","",Y13))</f>
        <v>200000</v>
      </c>
      <c r="J13" s="80" t="s">
        <v>207</v>
      </c>
      <c r="K13" s="80" t="s">
        <v>474</v>
      </c>
      <c r="L13" s="80" t="s">
        <v>475</v>
      </c>
      <c r="M13" s="80" t="s">
        <v>476</v>
      </c>
      <c r="N13" s="80" t="str">
        <f aca="false">IF(UNIT_SYSTEM="SI",IF(Z13="","",Z13),IF(AA13="","",AA13))</f>
        <v/>
      </c>
      <c r="O13" s="80" t="str">
        <f aca="false">IF(UNIT_SYSTEM="SI",IF(AB13="","",AB13),IF(AC13="","",AC13))</f>
        <v/>
      </c>
      <c r="P13" s="80"/>
      <c r="Q13" s="80" t="str">
        <f aca="false">IF(UNIT_SYSTEM="SI",IF(AD13="","",AD13),IF(AE13="","",AE13))</f>
        <v/>
      </c>
      <c r="R13" s="80" t="s">
        <v>508</v>
      </c>
      <c r="S13" s="80"/>
      <c r="T13" s="82" t="n">
        <v>240</v>
      </c>
      <c r="U13" s="83" t="n">
        <v>35</v>
      </c>
      <c r="V13" s="82" t="n">
        <v>415</v>
      </c>
      <c r="W13" s="83" t="n">
        <v>60</v>
      </c>
      <c r="X13" s="82" t="n">
        <v>200000</v>
      </c>
      <c r="Y13" s="84" t="n">
        <v>29007.5</v>
      </c>
      <c r="Z13" s="85"/>
      <c r="AA13" s="85"/>
      <c r="AB13" s="85"/>
      <c r="AC13" s="85"/>
      <c r="AD13" s="85"/>
      <c r="AE13" s="85" t="s">
        <v>137</v>
      </c>
    </row>
    <row r="14" customFormat="false" ht="15" hidden="false" customHeight="false" outlineLevel="0" collapsed="false">
      <c r="A14" s="72" t="s">
        <v>509</v>
      </c>
      <c r="B14" s="72" t="s">
        <v>505</v>
      </c>
      <c r="C14" s="72" t="s">
        <v>480</v>
      </c>
      <c r="D14" s="72" t="s">
        <v>507</v>
      </c>
      <c r="E14" s="72" t="s">
        <v>84</v>
      </c>
      <c r="F14" s="72" t="s">
        <v>473</v>
      </c>
      <c r="G14" s="73" t="n">
        <f aca="false">IF(UNIT_SYSTEM="SI",IF(T14="","",T14),IF(U14="","",U14))</f>
        <v>275</v>
      </c>
      <c r="H14" s="73" t="n">
        <f aca="false">IF(UNIT_SYSTEM="SI",IF(V14="","",V14),IF(W14="","",W14))</f>
        <v>485</v>
      </c>
      <c r="I14" s="73" t="n">
        <f aca="false">IF(UNIT_SYSTEM="SI",IF(X14="","",X14),IF(Y14="","",Y14))</f>
        <v>200000</v>
      </c>
      <c r="J14" s="72" t="s">
        <v>207</v>
      </c>
      <c r="K14" s="72" t="s">
        <v>474</v>
      </c>
      <c r="L14" s="72" t="s">
        <v>475</v>
      </c>
      <c r="M14" s="72" t="s">
        <v>476</v>
      </c>
      <c r="N14" s="72" t="str">
        <f aca="false">IF(UNIT_SYSTEM="SI",IF(Z14="","",Z14),IF(AA14="","",AA14))</f>
        <v/>
      </c>
      <c r="O14" s="72" t="str">
        <f aca="false">IF(UNIT_SYSTEM="SI",IF(AB14="","",AB14),IF(AC14="","",AC14))</f>
        <v/>
      </c>
      <c r="P14" s="72"/>
      <c r="Q14" s="72" t="str">
        <f aca="false">IF(UNIT_SYSTEM="SI",IF(AD14="","",AD14),IF(AE14="","",AE14))</f>
        <v/>
      </c>
      <c r="R14" s="72" t="s">
        <v>508</v>
      </c>
      <c r="S14" s="72"/>
      <c r="T14" s="76" t="n">
        <v>275</v>
      </c>
      <c r="U14" s="77" t="n">
        <v>40</v>
      </c>
      <c r="V14" s="76" t="n">
        <v>485</v>
      </c>
      <c r="W14" s="77" t="n">
        <v>70</v>
      </c>
      <c r="X14" s="76" t="n">
        <v>200000</v>
      </c>
      <c r="Y14" s="78" t="n">
        <v>29007.5</v>
      </c>
      <c r="Z14" s="86"/>
      <c r="AA14" s="86"/>
      <c r="AB14" s="86"/>
      <c r="AC14" s="86"/>
      <c r="AD14" s="86"/>
      <c r="AE14" s="86" t="s">
        <v>137</v>
      </c>
    </row>
    <row r="15" customFormat="false" ht="15" hidden="false" customHeight="false" outlineLevel="0" collapsed="false">
      <c r="A15" s="80" t="s">
        <v>510</v>
      </c>
      <c r="B15" s="80" t="s">
        <v>511</v>
      </c>
      <c r="C15" s="80" t="s">
        <v>506</v>
      </c>
      <c r="D15" s="80" t="s">
        <v>512</v>
      </c>
      <c r="E15" s="80" t="s">
        <v>84</v>
      </c>
      <c r="F15" s="80" t="s">
        <v>473</v>
      </c>
      <c r="G15" s="81" t="n">
        <f aca="false">IF(UNIT_SYSTEM="SI",IF(T15="","",T15),IF(U15="","",U15))</f>
        <v>240</v>
      </c>
      <c r="H15" s="81" t="n">
        <f aca="false">IF(UNIT_SYSTEM="SI",IF(V15="","",V15),IF(W15="","",W15))</f>
        <v>415</v>
      </c>
      <c r="I15" s="81" t="n">
        <f aca="false">IF(UNIT_SYSTEM="SI",IF(X15="","",X15),IF(Y15="","",Y15))</f>
        <v>200000</v>
      </c>
      <c r="J15" s="80" t="s">
        <v>207</v>
      </c>
      <c r="K15" s="80" t="s">
        <v>474</v>
      </c>
      <c r="L15" s="80" t="s">
        <v>475</v>
      </c>
      <c r="M15" s="80" t="s">
        <v>476</v>
      </c>
      <c r="N15" s="80" t="str">
        <f aca="false">IF(UNIT_SYSTEM="SI",IF(Z15="","",Z15),IF(AA15="","",AA15))</f>
        <v/>
      </c>
      <c r="O15" s="80" t="str">
        <f aca="false">IF(UNIT_SYSTEM="SI",IF(AB15="","",AB15),IF(AC15="","",AC15))</f>
        <v/>
      </c>
      <c r="P15" s="80"/>
      <c r="Q15" s="80" t="str">
        <f aca="false">IF(UNIT_SYSTEM="SI",IF(AD15="","",AD15),IF(AE15="","",AE15))</f>
        <v/>
      </c>
      <c r="R15" s="80" t="s">
        <v>508</v>
      </c>
      <c r="S15" s="80"/>
      <c r="T15" s="82" t="n">
        <v>240</v>
      </c>
      <c r="U15" s="83" t="n">
        <v>35</v>
      </c>
      <c r="V15" s="82" t="n">
        <v>415</v>
      </c>
      <c r="W15" s="83" t="n">
        <v>60</v>
      </c>
      <c r="X15" s="82" t="n">
        <v>200000</v>
      </c>
      <c r="Y15" s="84" t="n">
        <v>29007.5</v>
      </c>
      <c r="Z15" s="85"/>
      <c r="AA15" s="85"/>
      <c r="AB15" s="85"/>
      <c r="AC15" s="85"/>
      <c r="AD15" s="85"/>
      <c r="AE15" s="85" t="s">
        <v>137</v>
      </c>
    </row>
    <row r="16" customFormat="false" ht="15" hidden="false" customHeight="false" outlineLevel="0" collapsed="false">
      <c r="A16" s="72" t="s">
        <v>513</v>
      </c>
      <c r="B16" s="72" t="s">
        <v>514</v>
      </c>
      <c r="C16" s="72" t="s">
        <v>515</v>
      </c>
      <c r="D16" s="72" t="s">
        <v>512</v>
      </c>
      <c r="E16" s="72" t="s">
        <v>499</v>
      </c>
      <c r="F16" s="72" t="s">
        <v>473</v>
      </c>
      <c r="G16" s="73" t="n">
        <f aca="false">IF(UNIT_SYSTEM="SI",IF(T16="","",T16),IF(U16="","",U16))</f>
        <v>240</v>
      </c>
      <c r="H16" s="73" t="n">
        <f aca="false">IF(UNIT_SYSTEM="SI",IF(V16="","",V16),IF(W16="","",W16))</f>
        <v>415</v>
      </c>
      <c r="I16" s="73" t="n">
        <f aca="false">IF(UNIT_SYSTEM="SI",IF(X16="","",X16),IF(Y16="","",Y16))</f>
        <v>200000</v>
      </c>
      <c r="J16" s="72" t="s">
        <v>207</v>
      </c>
      <c r="K16" s="72" t="s">
        <v>474</v>
      </c>
      <c r="L16" s="72" t="s">
        <v>475</v>
      </c>
      <c r="M16" s="72" t="s">
        <v>476</v>
      </c>
      <c r="N16" s="72" t="str">
        <f aca="false">IF(UNIT_SYSTEM="SI",IF(Z16="","",Z16),IF(AA16="","",AA16))</f>
        <v/>
      </c>
      <c r="O16" s="72" t="str">
        <f aca="false">IF(UNIT_SYSTEM="SI",IF(AB16="","",AB16),IF(AC16="","",AC16))</f>
        <v/>
      </c>
      <c r="P16" s="72"/>
      <c r="Q16" s="72" t="str">
        <f aca="false">IF(UNIT_SYSTEM="SI",IF(AD16="","",AD16),IF(AE16="","",AE16))</f>
        <v/>
      </c>
      <c r="R16" s="72" t="s">
        <v>508</v>
      </c>
      <c r="S16" s="72"/>
      <c r="T16" s="76" t="n">
        <v>240</v>
      </c>
      <c r="U16" s="77" t="n">
        <v>35</v>
      </c>
      <c r="V16" s="76" t="n">
        <v>415</v>
      </c>
      <c r="W16" s="77" t="n">
        <v>60</v>
      </c>
      <c r="X16" s="76" t="n">
        <v>200000</v>
      </c>
      <c r="Y16" s="78" t="n">
        <v>29007.5</v>
      </c>
      <c r="Z16" s="86"/>
      <c r="AA16" s="86"/>
      <c r="AB16" s="86"/>
      <c r="AC16" s="86"/>
      <c r="AD16" s="86"/>
      <c r="AE16" s="86" t="s">
        <v>137</v>
      </c>
    </row>
    <row r="17" customFormat="false" ht="15" hidden="false" customHeight="false" outlineLevel="0" collapsed="false">
      <c r="A17" s="80" t="s">
        <v>516</v>
      </c>
      <c r="B17" s="80" t="s">
        <v>517</v>
      </c>
      <c r="C17" s="80" t="s">
        <v>518</v>
      </c>
      <c r="D17" s="80" t="s">
        <v>519</v>
      </c>
      <c r="E17" s="80" t="s">
        <v>84</v>
      </c>
      <c r="F17" s="80" t="s">
        <v>473</v>
      </c>
      <c r="G17" s="81" t="n">
        <f aca="false">IF(UNIT_SYSTEM="SI",IF(T17="","",T17),IF(U17="","",U17))</f>
        <v>240</v>
      </c>
      <c r="H17" s="81" t="n">
        <f aca="false">IF(UNIT_SYSTEM="SI",IF(V17="","",V17),IF(W17="","",W17))</f>
        <v>415</v>
      </c>
      <c r="I17" s="81" t="n">
        <f aca="false">IF(UNIT_SYSTEM="SI",IF(X17="","",X17),IF(Y17="","",Y17))</f>
        <v>200000</v>
      </c>
      <c r="J17" s="80" t="s">
        <v>207</v>
      </c>
      <c r="K17" s="80" t="s">
        <v>474</v>
      </c>
      <c r="L17" s="80" t="s">
        <v>475</v>
      </c>
      <c r="M17" s="80" t="s">
        <v>476</v>
      </c>
      <c r="N17" s="80" t="str">
        <f aca="false">IF(UNIT_SYSTEM="SI",IF(Z17="","",Z17),IF(AA17="","",AA17))</f>
        <v/>
      </c>
      <c r="O17" s="80" t="str">
        <f aca="false">IF(UNIT_SYSTEM="SI",IF(AB17="","",AB17),IF(AC17="","",AC17))</f>
        <v/>
      </c>
      <c r="P17" s="80"/>
      <c r="Q17" s="80" t="str">
        <f aca="false">IF(UNIT_SYSTEM="SI",IF(AD17="","",AD17),IF(AE17="","",AE17))</f>
        <v/>
      </c>
      <c r="R17" s="80" t="s">
        <v>520</v>
      </c>
      <c r="S17" s="80"/>
      <c r="T17" s="82" t="n">
        <v>240</v>
      </c>
      <c r="U17" s="83" t="n">
        <v>35</v>
      </c>
      <c r="V17" s="82" t="n">
        <v>415</v>
      </c>
      <c r="W17" s="83" t="n">
        <v>60</v>
      </c>
      <c r="X17" s="82" t="n">
        <v>200000</v>
      </c>
      <c r="Y17" s="84" t="n">
        <v>29007.5</v>
      </c>
      <c r="Z17" s="85"/>
      <c r="AA17" s="85"/>
      <c r="AB17" s="85"/>
      <c r="AC17" s="85"/>
      <c r="AD17" s="85"/>
      <c r="AE17" s="85" t="s">
        <v>137</v>
      </c>
    </row>
    <row r="18" customFormat="false" ht="15" hidden="false" customHeight="false" outlineLevel="0" collapsed="false">
      <c r="A18" s="72" t="s">
        <v>521</v>
      </c>
      <c r="B18" s="72" t="s">
        <v>521</v>
      </c>
      <c r="C18" s="72" t="s">
        <v>84</v>
      </c>
      <c r="D18" s="72" t="s">
        <v>522</v>
      </c>
      <c r="E18" s="72" t="s">
        <v>523</v>
      </c>
      <c r="F18" s="72" t="s">
        <v>473</v>
      </c>
      <c r="G18" s="73" t="n">
        <f aca="false">IF(UNIT_SYSTEM="SI",IF(T18="","",T18),IF(U18="","",U18))</f>
        <v>250</v>
      </c>
      <c r="H18" s="73" t="n">
        <f aca="false">IF(UNIT_SYSTEM="SI",IF(V18="","",V18),IF(W18="","",W18))</f>
        <v>485</v>
      </c>
      <c r="I18" s="73" t="n">
        <f aca="false">IF(UNIT_SYSTEM="SI",IF(X18="","",X18),IF(Y18="","",Y18))</f>
        <v>200000</v>
      </c>
      <c r="J18" s="72" t="s">
        <v>207</v>
      </c>
      <c r="K18" s="72" t="s">
        <v>474</v>
      </c>
      <c r="L18" s="72" t="s">
        <v>475</v>
      </c>
      <c r="M18" s="72" t="s">
        <v>476</v>
      </c>
      <c r="N18" s="72" t="str">
        <f aca="false">IF(UNIT_SYSTEM="SI",IF(Z18="","",Z18),IF(AA18="","",AA18))</f>
        <v/>
      </c>
      <c r="O18" s="72" t="str">
        <f aca="false">IF(UNIT_SYSTEM="SI",IF(AB18="","",AB18),IF(AC18="","",AC18))</f>
        <v/>
      </c>
      <c r="P18" s="72"/>
      <c r="Q18" s="72" t="str">
        <f aca="false">IF(UNIT_SYSTEM="SI",IF(AD18="","",AD18),IF(AE18="","",AE18))</f>
        <v/>
      </c>
      <c r="R18" s="72" t="s">
        <v>524</v>
      </c>
      <c r="S18" s="72"/>
      <c r="T18" s="76" t="n">
        <v>250</v>
      </c>
      <c r="U18" s="77" t="n">
        <v>36</v>
      </c>
      <c r="V18" s="76" t="n">
        <v>485</v>
      </c>
      <c r="W18" s="77" t="n">
        <v>70</v>
      </c>
      <c r="X18" s="76" t="n">
        <v>200000</v>
      </c>
      <c r="Y18" s="78" t="n">
        <v>29007.5</v>
      </c>
      <c r="Z18" s="86"/>
      <c r="AA18" s="86"/>
      <c r="AB18" s="86"/>
      <c r="AC18" s="86"/>
      <c r="AD18" s="86"/>
      <c r="AE18" s="86" t="s">
        <v>137</v>
      </c>
    </row>
    <row r="19" customFormat="false" ht="15" hidden="false" customHeight="false" outlineLevel="0" collapsed="false">
      <c r="A19" s="80" t="s">
        <v>525</v>
      </c>
      <c r="B19" s="80" t="s">
        <v>526</v>
      </c>
      <c r="C19" s="80" t="s">
        <v>527</v>
      </c>
      <c r="D19" s="80" t="s">
        <v>522</v>
      </c>
      <c r="E19" s="80" t="s">
        <v>499</v>
      </c>
      <c r="F19" s="80" t="s">
        <v>473</v>
      </c>
      <c r="G19" s="81" t="n">
        <f aca="false">IF(UNIT_SYSTEM="SI",IF(T19="","",T19),IF(U19="","",U19))</f>
        <v>250</v>
      </c>
      <c r="H19" s="81" t="n">
        <f aca="false">IF(UNIT_SYSTEM="SI",IF(V19="","",V19),IF(W19="","",W19))</f>
        <v>485</v>
      </c>
      <c r="I19" s="81" t="n">
        <f aca="false">IF(UNIT_SYSTEM="SI",IF(X19="","",X19),IF(Y19="","",Y19))</f>
        <v>200000</v>
      </c>
      <c r="J19" s="80" t="s">
        <v>207</v>
      </c>
      <c r="K19" s="80" t="s">
        <v>474</v>
      </c>
      <c r="L19" s="80" t="s">
        <v>475</v>
      </c>
      <c r="M19" s="80" t="s">
        <v>476</v>
      </c>
      <c r="N19" s="80" t="str">
        <f aca="false">IF(UNIT_SYSTEM="SI",IF(Z19="","",Z19),IF(AA19="","",AA19))</f>
        <v/>
      </c>
      <c r="O19" s="80" t="str">
        <f aca="false">IF(UNIT_SYSTEM="SI",IF(AB19="","",AB19),IF(AC19="","",AC19))</f>
        <v/>
      </c>
      <c r="P19" s="80"/>
      <c r="Q19" s="80" t="str">
        <f aca="false">IF(UNIT_SYSTEM="SI",IF(AD19="","",AD19),IF(AE19="","",AE19))</f>
        <v/>
      </c>
      <c r="R19" s="80" t="s">
        <v>528</v>
      </c>
      <c r="S19" s="80"/>
      <c r="T19" s="82" t="n">
        <v>250</v>
      </c>
      <c r="U19" s="83" t="n">
        <v>36</v>
      </c>
      <c r="V19" s="82" t="n">
        <v>485</v>
      </c>
      <c r="W19" s="83" t="n">
        <v>70</v>
      </c>
      <c r="X19" s="82" t="n">
        <v>200000</v>
      </c>
      <c r="Y19" s="84" t="n">
        <v>29007.5</v>
      </c>
      <c r="Z19" s="85"/>
      <c r="AA19" s="85"/>
      <c r="AB19" s="85"/>
      <c r="AC19" s="85"/>
      <c r="AD19" s="85"/>
      <c r="AE19" s="85" t="s">
        <v>137</v>
      </c>
    </row>
    <row r="20" customFormat="false" ht="15" hidden="false" customHeight="false" outlineLevel="0" collapsed="false">
      <c r="A20" s="72" t="s">
        <v>529</v>
      </c>
      <c r="B20" s="72" t="s">
        <v>530</v>
      </c>
      <c r="C20" s="72" t="s">
        <v>531</v>
      </c>
      <c r="D20" s="72" t="s">
        <v>532</v>
      </c>
      <c r="E20" s="72" t="s">
        <v>84</v>
      </c>
      <c r="F20" s="72" t="s">
        <v>473</v>
      </c>
      <c r="G20" s="73" t="n">
        <f aca="false">IF(UNIT_SYSTEM="SI",IF(T20="","",T20),IF(U20="","",U20))</f>
        <v>360</v>
      </c>
      <c r="H20" s="73" t="n">
        <f aca="false">IF(UNIT_SYSTEM="SI",IF(V20="","",V20),IF(W20="","",W20))</f>
        <v>460</v>
      </c>
      <c r="I20" s="73" t="n">
        <f aca="false">IF(UNIT_SYSTEM="SI",IF(X20="","",X20),IF(Y20="","",Y20))</f>
        <v>200000</v>
      </c>
      <c r="J20" s="72" t="s">
        <v>207</v>
      </c>
      <c r="K20" s="72" t="s">
        <v>474</v>
      </c>
      <c r="L20" s="72" t="s">
        <v>533</v>
      </c>
      <c r="M20" s="72" t="s">
        <v>476</v>
      </c>
      <c r="N20" s="72" t="str">
        <f aca="false">IF(UNIT_SYSTEM="SI",IF(Z20="","",Z20),IF(AA20="","",AA20))</f>
        <v/>
      </c>
      <c r="O20" s="72" t="str">
        <f aca="false">IF(UNIT_SYSTEM="SI",IF(AB20="","",AB20),IF(AC20="","",AC20))</f>
        <v/>
      </c>
      <c r="P20" s="72"/>
      <c r="Q20" s="72" t="str">
        <f aca="false">IF(UNIT_SYSTEM="SI",IF(AD20="","",AD20),IF(AE20="","",AE20))</f>
        <v/>
      </c>
      <c r="R20" s="72" t="s">
        <v>508</v>
      </c>
      <c r="S20" s="72"/>
      <c r="T20" s="76" t="n">
        <v>360</v>
      </c>
      <c r="U20" s="77" t="n">
        <v>52.2</v>
      </c>
      <c r="V20" s="76" t="n">
        <v>460</v>
      </c>
      <c r="W20" s="77" t="n">
        <v>66.7</v>
      </c>
      <c r="X20" s="76" t="n">
        <v>200000</v>
      </c>
      <c r="Y20" s="78" t="n">
        <v>29007.5</v>
      </c>
      <c r="Z20" s="86"/>
      <c r="AA20" s="86"/>
      <c r="AB20" s="86"/>
      <c r="AC20" s="86"/>
      <c r="AD20" s="86"/>
      <c r="AE20" s="86" t="s">
        <v>137</v>
      </c>
    </row>
    <row r="21" customFormat="false" ht="15" hidden="false" customHeight="false" outlineLevel="0" collapsed="false">
      <c r="A21" s="80" t="s">
        <v>534</v>
      </c>
      <c r="B21" s="80" t="s">
        <v>530</v>
      </c>
      <c r="C21" s="80" t="s">
        <v>535</v>
      </c>
      <c r="D21" s="80" t="s">
        <v>532</v>
      </c>
      <c r="E21" s="80" t="s">
        <v>84</v>
      </c>
      <c r="F21" s="80" t="s">
        <v>473</v>
      </c>
      <c r="G21" s="81" t="n">
        <f aca="false">IF(UNIT_SYSTEM="SI",IF(T21="","",T21),IF(U21="","",U21))</f>
        <v>415</v>
      </c>
      <c r="H21" s="81" t="n">
        <f aca="false">IF(UNIT_SYSTEM="SI",IF(V21="","",V21),IF(W21="","",W21))</f>
        <v>520</v>
      </c>
      <c r="I21" s="81" t="n">
        <f aca="false">IF(UNIT_SYSTEM="SI",IF(X21="","",X21),IF(Y21="","",Y21))</f>
        <v>200000</v>
      </c>
      <c r="J21" s="80" t="s">
        <v>207</v>
      </c>
      <c r="K21" s="80" t="s">
        <v>474</v>
      </c>
      <c r="L21" s="80" t="s">
        <v>475</v>
      </c>
      <c r="M21" s="80" t="s">
        <v>476</v>
      </c>
      <c r="N21" s="80" t="str">
        <f aca="false">IF(UNIT_SYSTEM="SI",IF(Z21="","",Z21),IF(AA21="","",AA21))</f>
        <v/>
      </c>
      <c r="O21" s="80" t="str">
        <f aca="false">IF(UNIT_SYSTEM="SI",IF(AB21="","",AB21),IF(AC21="","",AC21))</f>
        <v/>
      </c>
      <c r="P21" s="80"/>
      <c r="Q21" s="80" t="str">
        <f aca="false">IF(UNIT_SYSTEM="SI",IF(AD21="","",AD21),IF(AE21="","",AE21))</f>
        <v/>
      </c>
      <c r="R21" s="80" t="s">
        <v>508</v>
      </c>
      <c r="S21" s="80"/>
      <c r="T21" s="82" t="n">
        <v>415</v>
      </c>
      <c r="U21" s="83" t="n">
        <v>60.2</v>
      </c>
      <c r="V21" s="82" t="n">
        <v>520</v>
      </c>
      <c r="W21" s="83" t="n">
        <v>75.4</v>
      </c>
      <c r="X21" s="82" t="n">
        <v>200000</v>
      </c>
      <c r="Y21" s="84" t="n">
        <v>29007.5</v>
      </c>
      <c r="Z21" s="85"/>
      <c r="AA21" s="85"/>
      <c r="AB21" s="85"/>
      <c r="AC21" s="85"/>
      <c r="AD21" s="85"/>
      <c r="AE21" s="85" t="s">
        <v>137</v>
      </c>
    </row>
    <row r="22" customFormat="false" ht="15" hidden="false" customHeight="false" outlineLevel="0" collapsed="false">
      <c r="A22" s="72" t="s">
        <v>536</v>
      </c>
      <c r="B22" s="72" t="s">
        <v>530</v>
      </c>
      <c r="C22" s="72" t="s">
        <v>537</v>
      </c>
      <c r="D22" s="72" t="s">
        <v>532</v>
      </c>
      <c r="E22" s="72" t="s">
        <v>84</v>
      </c>
      <c r="F22" s="72" t="s">
        <v>473</v>
      </c>
      <c r="G22" s="73" t="n">
        <f aca="false">IF(UNIT_SYSTEM="SI",IF(T22="","",T22),IF(U22="","",U22))</f>
        <v>450</v>
      </c>
      <c r="H22" s="73" t="n">
        <f aca="false">IF(UNIT_SYSTEM="SI",IF(V22="","",V22),IF(W22="","",W22))</f>
        <v>535</v>
      </c>
      <c r="I22" s="73" t="n">
        <f aca="false">IF(UNIT_SYSTEM="SI",IF(X22="","",X22),IF(Y22="","",Y22))</f>
        <v>200000</v>
      </c>
      <c r="J22" s="72" t="s">
        <v>207</v>
      </c>
      <c r="K22" s="72" t="s">
        <v>474</v>
      </c>
      <c r="L22" s="72" t="s">
        <v>538</v>
      </c>
      <c r="M22" s="72" t="s">
        <v>476</v>
      </c>
      <c r="N22" s="72" t="str">
        <f aca="false">IF(UNIT_SYSTEM="SI",IF(Z22="","",Z22),IF(AA22="","",AA22))</f>
        <v/>
      </c>
      <c r="O22" s="72" t="str">
        <f aca="false">IF(UNIT_SYSTEM="SI",IF(AB22="","",AB22),IF(AC22="","",AC22))</f>
        <v/>
      </c>
      <c r="P22" s="72"/>
      <c r="Q22" s="72" t="str">
        <f aca="false">IF(UNIT_SYSTEM="SI",IF(AD22="","",AD22),IF(AE22="","",AE22))</f>
        <v/>
      </c>
      <c r="R22" s="72" t="s">
        <v>508</v>
      </c>
      <c r="S22" s="72"/>
      <c r="T22" s="76" t="n">
        <v>450</v>
      </c>
      <c r="U22" s="77" t="n">
        <v>65.3</v>
      </c>
      <c r="V22" s="76" t="n">
        <v>535</v>
      </c>
      <c r="W22" s="77" t="n">
        <v>77.6</v>
      </c>
      <c r="X22" s="76" t="n">
        <v>200000</v>
      </c>
      <c r="Y22" s="78" t="n">
        <v>29007.5</v>
      </c>
      <c r="Z22" s="86"/>
      <c r="AA22" s="86"/>
      <c r="AB22" s="86"/>
      <c r="AC22" s="86"/>
      <c r="AD22" s="86"/>
      <c r="AE22" s="86" t="s">
        <v>137</v>
      </c>
    </row>
    <row r="23" customFormat="false" ht="15" hidden="false" customHeight="false" outlineLevel="0" collapsed="false">
      <c r="A23" s="80" t="s">
        <v>539</v>
      </c>
      <c r="B23" s="80" t="s">
        <v>530</v>
      </c>
      <c r="C23" s="80" t="s">
        <v>540</v>
      </c>
      <c r="D23" s="80" t="s">
        <v>532</v>
      </c>
      <c r="E23" s="80" t="s">
        <v>84</v>
      </c>
      <c r="F23" s="80" t="s">
        <v>473</v>
      </c>
      <c r="G23" s="81" t="n">
        <f aca="false">IF(UNIT_SYSTEM="SI",IF(T23="","",T23),IF(U23="","",U23))</f>
        <v>485</v>
      </c>
      <c r="H23" s="81" t="n">
        <f aca="false">IF(UNIT_SYSTEM="SI",IF(V23="","",V23),IF(W23="","",W23))</f>
        <v>570</v>
      </c>
      <c r="I23" s="81" t="n">
        <f aca="false">IF(UNIT_SYSTEM="SI",IF(X23="","",X23),IF(Y23="","",Y23))</f>
        <v>200000</v>
      </c>
      <c r="J23" s="80" t="s">
        <v>207</v>
      </c>
      <c r="K23" s="80" t="s">
        <v>474</v>
      </c>
      <c r="L23" s="80" t="s">
        <v>475</v>
      </c>
      <c r="M23" s="80" t="s">
        <v>476</v>
      </c>
      <c r="N23" s="80" t="str">
        <f aca="false">IF(UNIT_SYSTEM="SI",IF(Z23="","",Z23),IF(AA23="","",AA23))</f>
        <v/>
      </c>
      <c r="O23" s="80" t="str">
        <f aca="false">IF(UNIT_SYSTEM="SI",IF(AB23="","",AB23),IF(AC23="","",AC23))</f>
        <v/>
      </c>
      <c r="P23" s="80"/>
      <c r="Q23" s="80" t="str">
        <f aca="false">IF(UNIT_SYSTEM="SI",IF(AD23="","",AD23),IF(AE23="","",AE23))</f>
        <v/>
      </c>
      <c r="R23" s="80" t="s">
        <v>508</v>
      </c>
      <c r="S23" s="80"/>
      <c r="T23" s="82" t="n">
        <v>485</v>
      </c>
      <c r="U23" s="83" t="n">
        <v>70.3</v>
      </c>
      <c r="V23" s="82" t="n">
        <v>570</v>
      </c>
      <c r="W23" s="83" t="n">
        <v>82.7</v>
      </c>
      <c r="X23" s="82" t="n">
        <v>200000</v>
      </c>
      <c r="Y23" s="84" t="n">
        <v>29007.5</v>
      </c>
      <c r="Z23" s="85"/>
      <c r="AA23" s="85"/>
      <c r="AB23" s="85"/>
      <c r="AC23" s="85"/>
      <c r="AD23" s="85"/>
      <c r="AE23" s="85" t="s">
        <v>137</v>
      </c>
    </row>
    <row r="24" customFormat="false" ht="15" hidden="false" customHeight="false" outlineLevel="0" collapsed="false">
      <c r="A24" s="72" t="s">
        <v>541</v>
      </c>
      <c r="B24" s="72" t="s">
        <v>542</v>
      </c>
      <c r="C24" s="72" t="s">
        <v>543</v>
      </c>
      <c r="D24" s="72" t="s">
        <v>481</v>
      </c>
      <c r="E24" s="72" t="s">
        <v>544</v>
      </c>
      <c r="F24" s="72" t="s">
        <v>545</v>
      </c>
      <c r="G24" s="73" t="n">
        <f aca="false">IF(UNIT_SYSTEM="SI",IF(T24="","",T24),IF(U24="","",U24))</f>
        <v>310</v>
      </c>
      <c r="H24" s="73" t="n">
        <f aca="false">IF(UNIT_SYSTEM="SI",IF(V24="","",V24),IF(W24="","",W24))</f>
        <v>515</v>
      </c>
      <c r="I24" s="73" t="n">
        <f aca="false">IF(UNIT_SYSTEM="SI",IF(X24="","",X24),IF(Y24="","",Y24))</f>
        <v>200000</v>
      </c>
      <c r="J24" s="72" t="s">
        <v>353</v>
      </c>
      <c r="K24" s="72" t="s">
        <v>467</v>
      </c>
      <c r="L24" s="72" t="s">
        <v>475</v>
      </c>
      <c r="M24" s="72" t="s">
        <v>546</v>
      </c>
      <c r="N24" s="72" t="str">
        <f aca="false">IF(UNIT_SYSTEM="SI",IF(Z24="","",Z24),IF(AA24="","",AA24))</f>
        <v/>
      </c>
      <c r="O24" s="72" t="str">
        <f aca="false">IF(UNIT_SYSTEM="SI",IF(AB24="","",AB24),IF(AC24="","",AC24))</f>
        <v/>
      </c>
      <c r="P24" s="72"/>
      <c r="Q24" s="72" t="str">
        <f aca="false">IF(UNIT_SYSTEM="SI",IF(AD24="","",AD24),IF(AE24="","",AE24))</f>
        <v/>
      </c>
      <c r="R24" s="72" t="s">
        <v>547</v>
      </c>
      <c r="S24" s="72"/>
      <c r="T24" s="76" t="n">
        <v>310</v>
      </c>
      <c r="U24" s="77" t="n">
        <v>45</v>
      </c>
      <c r="V24" s="76" t="n">
        <v>515</v>
      </c>
      <c r="W24" s="77" t="n">
        <v>75</v>
      </c>
      <c r="X24" s="76" t="n">
        <v>200000</v>
      </c>
      <c r="Y24" s="78" t="n">
        <v>29007.5</v>
      </c>
      <c r="Z24" s="86"/>
      <c r="AA24" s="86"/>
      <c r="AB24" s="86"/>
      <c r="AC24" s="86"/>
      <c r="AD24" s="86"/>
      <c r="AE24" s="86" t="s">
        <v>137</v>
      </c>
    </row>
    <row r="25" customFormat="false" ht="15" hidden="false" customHeight="false" outlineLevel="0" collapsed="false">
      <c r="A25" s="80" t="s">
        <v>548</v>
      </c>
      <c r="B25" s="80" t="s">
        <v>542</v>
      </c>
      <c r="C25" s="80" t="s">
        <v>549</v>
      </c>
      <c r="D25" s="80" t="s">
        <v>481</v>
      </c>
      <c r="E25" s="80" t="s">
        <v>544</v>
      </c>
      <c r="F25" s="80" t="s">
        <v>545</v>
      </c>
      <c r="G25" s="81" t="n">
        <f aca="false">IF(UNIT_SYSTEM="SI",IF(T25="","",T25),IF(U25="","",U25))</f>
        <v>310</v>
      </c>
      <c r="H25" s="81" t="n">
        <f aca="false">IF(UNIT_SYSTEM="SI",IF(V25="","",V25),IF(W25="","",W25))</f>
        <v>515</v>
      </c>
      <c r="I25" s="81" t="n">
        <f aca="false">IF(UNIT_SYSTEM="SI",IF(X25="","",X25),IF(Y25="","",Y25))</f>
        <v>200000</v>
      </c>
      <c r="J25" s="80" t="s">
        <v>354</v>
      </c>
      <c r="K25" s="80" t="s">
        <v>467</v>
      </c>
      <c r="L25" s="80" t="s">
        <v>475</v>
      </c>
      <c r="M25" s="80" t="s">
        <v>546</v>
      </c>
      <c r="N25" s="80" t="str">
        <f aca="false">IF(UNIT_SYSTEM="SI",IF(Z25="","",Z25),IF(AA25="","",AA25))</f>
        <v/>
      </c>
      <c r="O25" s="80" t="str">
        <f aca="false">IF(UNIT_SYSTEM="SI",IF(AB25="","",AB25),IF(AC25="","",AC25))</f>
        <v/>
      </c>
      <c r="P25" s="80"/>
      <c r="Q25" s="80" t="str">
        <f aca="false">IF(UNIT_SYSTEM="SI",IF(AD25="","",AD25),IF(AE25="","",AE25))</f>
        <v/>
      </c>
      <c r="R25" s="80" t="s">
        <v>550</v>
      </c>
      <c r="S25" s="80"/>
      <c r="T25" s="82" t="n">
        <v>310</v>
      </c>
      <c r="U25" s="83" t="n">
        <v>45</v>
      </c>
      <c r="V25" s="82" t="n">
        <v>515</v>
      </c>
      <c r="W25" s="83" t="n">
        <v>75</v>
      </c>
      <c r="X25" s="82" t="n">
        <v>200000</v>
      </c>
      <c r="Y25" s="84" t="n">
        <v>29007.5</v>
      </c>
      <c r="Z25" s="85"/>
      <c r="AA25" s="85"/>
      <c r="AB25" s="85"/>
      <c r="AC25" s="85"/>
      <c r="AD25" s="85"/>
      <c r="AE25" s="85" t="s">
        <v>137</v>
      </c>
    </row>
    <row r="26" customFormat="false" ht="15" hidden="false" customHeight="false" outlineLevel="0" collapsed="false">
      <c r="A26" s="72" t="s">
        <v>551</v>
      </c>
      <c r="B26" s="72" t="s">
        <v>552</v>
      </c>
      <c r="C26" s="72" t="s">
        <v>553</v>
      </c>
      <c r="D26" s="72" t="s">
        <v>507</v>
      </c>
      <c r="E26" s="72" t="s">
        <v>84</v>
      </c>
      <c r="F26" s="72" t="s">
        <v>545</v>
      </c>
      <c r="G26" s="73" t="n">
        <f aca="false">IF(UNIT_SYSTEM="SI",IF(T26="","",T26),IF(U26="","",U26))</f>
        <v>205</v>
      </c>
      <c r="H26" s="73" t="n">
        <f aca="false">IF(UNIT_SYSTEM="SI",IF(V26="","",V26),IF(W26="","",W26))</f>
        <v>415</v>
      </c>
      <c r="I26" s="73" t="n">
        <f aca="false">IF(UNIT_SYSTEM="SI",IF(X26="","",X26),IF(Y26="","",Y26))</f>
        <v>200000</v>
      </c>
      <c r="J26" s="72" t="s">
        <v>207</v>
      </c>
      <c r="K26" s="72" t="s">
        <v>467</v>
      </c>
      <c r="L26" s="72" t="s">
        <v>475</v>
      </c>
      <c r="M26" s="72" t="s">
        <v>546</v>
      </c>
      <c r="N26" s="72" t="str">
        <f aca="false">IF(UNIT_SYSTEM="SI",IF(Z26="","",Z26),IF(AA26="","",AA26))</f>
        <v/>
      </c>
      <c r="O26" s="72" t="str">
        <f aca="false">IF(UNIT_SYSTEM="SI",IF(AB26="","",AB26),IF(AC26="","",AC26))</f>
        <v/>
      </c>
      <c r="P26" s="72"/>
      <c r="Q26" s="72" t="str">
        <f aca="false">IF(UNIT_SYSTEM="SI",IF(AD26="","",AD26),IF(AE26="","",AE26))</f>
        <v/>
      </c>
      <c r="R26" s="72" t="s">
        <v>508</v>
      </c>
      <c r="S26" s="72"/>
      <c r="T26" s="76" t="n">
        <v>205</v>
      </c>
      <c r="U26" s="77" t="n">
        <v>30</v>
      </c>
      <c r="V26" s="76" t="n">
        <v>415</v>
      </c>
      <c r="W26" s="77" t="n">
        <v>60</v>
      </c>
      <c r="X26" s="76" t="n">
        <v>200000</v>
      </c>
      <c r="Y26" s="78" t="n">
        <v>29007.5</v>
      </c>
      <c r="Z26" s="86"/>
      <c r="AA26" s="86"/>
      <c r="AB26" s="86"/>
      <c r="AC26" s="86"/>
      <c r="AD26" s="86"/>
      <c r="AE26" s="86" t="s">
        <v>137</v>
      </c>
    </row>
    <row r="27" customFormat="false" ht="15" hidden="false" customHeight="false" outlineLevel="0" collapsed="false">
      <c r="A27" s="80" t="s">
        <v>554</v>
      </c>
      <c r="B27" s="80" t="s">
        <v>552</v>
      </c>
      <c r="C27" s="80" t="s">
        <v>555</v>
      </c>
      <c r="D27" s="80" t="s">
        <v>507</v>
      </c>
      <c r="E27" s="80" t="s">
        <v>84</v>
      </c>
      <c r="F27" s="80" t="s">
        <v>545</v>
      </c>
      <c r="G27" s="81" t="n">
        <f aca="false">IF(UNIT_SYSTEM="SI",IF(T27="","",T27),IF(U27="","",U27))</f>
        <v>205</v>
      </c>
      <c r="H27" s="81" t="n">
        <f aca="false">IF(UNIT_SYSTEM="SI",IF(V27="","",V27),IF(W27="","",W27))</f>
        <v>415</v>
      </c>
      <c r="I27" s="81" t="n">
        <f aca="false">IF(UNIT_SYSTEM="SI",IF(X27="","",X27),IF(Y27="","",Y27))</f>
        <v>200000</v>
      </c>
      <c r="J27" s="80" t="s">
        <v>207</v>
      </c>
      <c r="K27" s="80" t="s">
        <v>467</v>
      </c>
      <c r="L27" s="80" t="s">
        <v>475</v>
      </c>
      <c r="M27" s="80" t="s">
        <v>546</v>
      </c>
      <c r="N27" s="80" t="str">
        <f aca="false">IF(UNIT_SYSTEM="SI",IF(Z27="","",Z27),IF(AA27="","",AA27))</f>
        <v/>
      </c>
      <c r="O27" s="80" t="str">
        <f aca="false">IF(UNIT_SYSTEM="SI",IF(AB27="","",AB27),IF(AC27="","",AC27))</f>
        <v/>
      </c>
      <c r="P27" s="80"/>
      <c r="Q27" s="80" t="str">
        <f aca="false">IF(UNIT_SYSTEM="SI",IF(AD27="","",AD27),IF(AE27="","",AE27))</f>
        <v/>
      </c>
      <c r="R27" s="80" t="s">
        <v>508</v>
      </c>
      <c r="S27" s="80"/>
      <c r="T27" s="82" t="n">
        <v>205</v>
      </c>
      <c r="U27" s="83" t="n">
        <v>30</v>
      </c>
      <c r="V27" s="82" t="n">
        <v>415</v>
      </c>
      <c r="W27" s="83" t="n">
        <v>60</v>
      </c>
      <c r="X27" s="82" t="n">
        <v>200000</v>
      </c>
      <c r="Y27" s="84" t="n">
        <v>29007.5</v>
      </c>
      <c r="Z27" s="85"/>
      <c r="AA27" s="85"/>
      <c r="AB27" s="85"/>
      <c r="AC27" s="85"/>
      <c r="AD27" s="85"/>
      <c r="AE27" s="85" t="s">
        <v>137</v>
      </c>
    </row>
    <row r="28" customFormat="false" ht="15" hidden="false" customHeight="false" outlineLevel="0" collapsed="false">
      <c r="A28" s="72" t="s">
        <v>556</v>
      </c>
      <c r="B28" s="72" t="s">
        <v>557</v>
      </c>
      <c r="C28" s="72" t="s">
        <v>558</v>
      </c>
      <c r="D28" s="72" t="s">
        <v>522</v>
      </c>
      <c r="E28" s="72" t="s">
        <v>544</v>
      </c>
      <c r="F28" s="72" t="s">
        <v>545</v>
      </c>
      <c r="G28" s="73" t="n">
        <f aca="false">IF(UNIT_SYSTEM="SI",IF(T28="","",T28),IF(U28="","",U28))</f>
        <v>310</v>
      </c>
      <c r="H28" s="73" t="n">
        <f aca="false">IF(UNIT_SYSTEM="SI",IF(V28="","",V28),IF(W28="","",W28))</f>
        <v>515</v>
      </c>
      <c r="I28" s="73" t="n">
        <f aca="false">IF(UNIT_SYSTEM="SI",IF(X28="","",X28),IF(Y28="","",Y28))</f>
        <v>200000</v>
      </c>
      <c r="J28" s="72" t="s">
        <v>354</v>
      </c>
      <c r="K28" s="72" t="s">
        <v>467</v>
      </c>
      <c r="L28" s="72" t="s">
        <v>475</v>
      </c>
      <c r="M28" s="72" t="s">
        <v>546</v>
      </c>
      <c r="N28" s="72" t="str">
        <f aca="false">IF(UNIT_SYSTEM="SI",IF(Z28="","",Z28),IF(AA28="","",AA28))</f>
        <v/>
      </c>
      <c r="O28" s="72" t="str">
        <f aca="false">IF(UNIT_SYSTEM="SI",IF(AB28="","",AB28),IF(AC28="","",AC28))</f>
        <v/>
      </c>
      <c r="P28" s="72"/>
      <c r="Q28" s="72" t="str">
        <f aca="false">IF(UNIT_SYSTEM="SI",IF(AD28="","",AD28),IF(AE28="","",AE28))</f>
        <v/>
      </c>
      <c r="R28" s="72" t="s">
        <v>559</v>
      </c>
      <c r="S28" s="72"/>
      <c r="T28" s="76" t="n">
        <v>310</v>
      </c>
      <c r="U28" s="77" t="n">
        <v>45</v>
      </c>
      <c r="V28" s="76" t="n">
        <v>515</v>
      </c>
      <c r="W28" s="77" t="n">
        <v>75</v>
      </c>
      <c r="X28" s="76" t="n">
        <v>200000</v>
      </c>
      <c r="Y28" s="78" t="n">
        <v>29007.5</v>
      </c>
      <c r="Z28" s="86"/>
      <c r="AA28" s="86"/>
      <c r="AB28" s="86"/>
      <c r="AC28" s="86"/>
      <c r="AD28" s="86"/>
      <c r="AE28" s="86" t="s">
        <v>137</v>
      </c>
    </row>
    <row r="29" customFormat="false" ht="15" hidden="false" customHeight="false" outlineLevel="0" collapsed="false">
      <c r="A29" s="80" t="s">
        <v>560</v>
      </c>
      <c r="B29" s="80" t="s">
        <v>561</v>
      </c>
      <c r="C29" s="80" t="s">
        <v>562</v>
      </c>
      <c r="D29" s="80" t="s">
        <v>522</v>
      </c>
      <c r="E29" s="80" t="s">
        <v>563</v>
      </c>
      <c r="F29" s="80" t="s">
        <v>545</v>
      </c>
      <c r="G29" s="81" t="n">
        <f aca="false">IF(UNIT_SYSTEM="SI",IF(T29="","",T29),IF(U29="","",U29))</f>
        <v>345</v>
      </c>
      <c r="H29" s="81" t="n">
        <f aca="false">IF(UNIT_SYSTEM="SI",IF(V29="","",V29),IF(W29="","",W29))</f>
        <v>550</v>
      </c>
      <c r="I29" s="81" t="n">
        <f aca="false">IF(UNIT_SYSTEM="SI",IF(X29="","",X29),IF(Y29="","",Y29))</f>
        <v>200000</v>
      </c>
      <c r="J29" s="80" t="s">
        <v>207</v>
      </c>
      <c r="K29" s="80" t="s">
        <v>564</v>
      </c>
      <c r="L29" s="80" t="s">
        <v>475</v>
      </c>
      <c r="M29" s="80" t="s">
        <v>546</v>
      </c>
      <c r="N29" s="80" t="str">
        <f aca="false">IF(UNIT_SYSTEM="SI",IF(Z29="","",Z29),IF(AA29="","",AA29))</f>
        <v/>
      </c>
      <c r="O29" s="80" t="str">
        <f aca="false">IF(UNIT_SYSTEM="SI",IF(AB29="","",AB29),IF(AC29="","",AC29))</f>
        <v/>
      </c>
      <c r="P29" s="80"/>
      <c r="Q29" s="80" t="str">
        <f aca="false">IF(UNIT_SYSTEM="SI",IF(AD29="","",AD29),IF(AE29="","",AE29))</f>
        <v/>
      </c>
      <c r="R29" s="80" t="s">
        <v>565</v>
      </c>
      <c r="S29" s="80"/>
      <c r="T29" s="82" t="n">
        <v>345</v>
      </c>
      <c r="U29" s="83" t="n">
        <v>50</v>
      </c>
      <c r="V29" s="82" t="n">
        <v>550</v>
      </c>
      <c r="W29" s="83" t="n">
        <v>80</v>
      </c>
      <c r="X29" s="82" t="n">
        <v>200000</v>
      </c>
      <c r="Y29" s="84" t="n">
        <v>29007.5</v>
      </c>
      <c r="Z29" s="85"/>
      <c r="AA29" s="85"/>
      <c r="AB29" s="85"/>
      <c r="AC29" s="85"/>
      <c r="AD29" s="85"/>
      <c r="AE29" s="85" t="s">
        <v>137</v>
      </c>
    </row>
    <row r="30" customFormat="false" ht="15" hidden="false" customHeight="false" outlineLevel="0" collapsed="false">
      <c r="A30" s="72" t="s">
        <v>566</v>
      </c>
      <c r="B30" s="72" t="s">
        <v>567</v>
      </c>
      <c r="C30" s="72" t="s">
        <v>568</v>
      </c>
      <c r="D30" s="72" t="s">
        <v>481</v>
      </c>
      <c r="E30" s="72" t="s">
        <v>563</v>
      </c>
      <c r="F30" s="72" t="s">
        <v>545</v>
      </c>
      <c r="G30" s="73" t="n">
        <f aca="false">IF(UNIT_SYSTEM="SI",IF(T30="","",T30),IF(U30="","",U30))</f>
        <v>345</v>
      </c>
      <c r="H30" s="73" t="n">
        <f aca="false">IF(UNIT_SYSTEM="SI",IF(V30="","",V30),IF(W30="","",W30))</f>
        <v>550</v>
      </c>
      <c r="I30" s="73" t="n">
        <f aca="false">IF(UNIT_SYSTEM="SI",IF(X30="","",X30),IF(Y30="","",Y30))</f>
        <v>200000</v>
      </c>
      <c r="J30" s="72" t="s">
        <v>354</v>
      </c>
      <c r="K30" s="72" t="s">
        <v>467</v>
      </c>
      <c r="L30" s="72" t="s">
        <v>475</v>
      </c>
      <c r="M30" s="72" t="s">
        <v>546</v>
      </c>
      <c r="N30" s="72" t="str">
        <f aca="false">IF(UNIT_SYSTEM="SI",IF(Z30="","",Z30),IF(AA30="","",AA30))</f>
        <v/>
      </c>
      <c r="O30" s="72" t="str">
        <f aca="false">IF(UNIT_SYSTEM="SI",IF(AB30="","",AB30),IF(AC30="","",AC30))</f>
        <v/>
      </c>
      <c r="P30" s="72"/>
      <c r="Q30" s="72" t="str">
        <f aca="false">IF(UNIT_SYSTEM="SI",IF(AD30="","",AD30),IF(AE30="","",AE30))</f>
        <v/>
      </c>
      <c r="R30" s="72" t="s">
        <v>486</v>
      </c>
      <c r="S30" s="72"/>
      <c r="T30" s="76" t="n">
        <v>345</v>
      </c>
      <c r="U30" s="77" t="n">
        <v>50</v>
      </c>
      <c r="V30" s="76" t="n">
        <v>550</v>
      </c>
      <c r="W30" s="77" t="n">
        <v>80</v>
      </c>
      <c r="X30" s="76" t="n">
        <v>200000</v>
      </c>
      <c r="Y30" s="78" t="n">
        <v>29007.5</v>
      </c>
      <c r="Z30" s="86"/>
      <c r="AA30" s="86"/>
      <c r="AB30" s="86"/>
      <c r="AC30" s="86"/>
      <c r="AD30" s="86"/>
      <c r="AE30" s="86" t="s">
        <v>137</v>
      </c>
    </row>
    <row r="31" customFormat="false" ht="15" hidden="false" customHeight="false" outlineLevel="0" collapsed="false">
      <c r="A31" s="80" t="s">
        <v>569</v>
      </c>
      <c r="B31" s="80" t="s">
        <v>570</v>
      </c>
      <c r="C31" s="81" t="n">
        <v>304</v>
      </c>
      <c r="D31" s="80" t="s">
        <v>481</v>
      </c>
      <c r="E31" s="80" t="s">
        <v>571</v>
      </c>
      <c r="F31" s="80" t="s">
        <v>572</v>
      </c>
      <c r="G31" s="81" t="n">
        <f aca="false">IF(UNIT_SYSTEM="SI",IF(T31="","",T31),IF(U31="","",U31))</f>
        <v>205</v>
      </c>
      <c r="H31" s="81" t="n">
        <f aca="false">IF(UNIT_SYSTEM="SI",IF(V31="","",V31),IF(W31="","",W31))</f>
        <v>515</v>
      </c>
      <c r="I31" s="81" t="n">
        <f aca="false">IF(UNIT_SYSTEM="SI",IF(X31="","",X31),IF(Y31="","",Y31))</f>
        <v>195000</v>
      </c>
      <c r="J31" s="80" t="s">
        <v>466</v>
      </c>
      <c r="K31" s="80" t="s">
        <v>572</v>
      </c>
      <c r="L31" s="80" t="s">
        <v>573</v>
      </c>
      <c r="M31" s="80" t="s">
        <v>574</v>
      </c>
      <c r="N31" s="80" t="str">
        <f aca="false">IF(UNIT_SYSTEM="SI",IF(Z31="","",Z31),IF(AA31="","",AA31))</f>
        <v/>
      </c>
      <c r="O31" s="80" t="str">
        <f aca="false">IF(UNIT_SYSTEM="SI",IF(AB31="","",AB31),IF(AC31="","",AC31))</f>
        <v/>
      </c>
      <c r="P31" s="80"/>
      <c r="Q31" s="80" t="str">
        <f aca="false">IF(UNIT_SYSTEM="SI",IF(AD31="","",AD31),IF(AE31="","",AE31))</f>
        <v/>
      </c>
      <c r="R31" s="80" t="s">
        <v>575</v>
      </c>
      <c r="S31" s="80"/>
      <c r="T31" s="82" t="n">
        <v>205</v>
      </c>
      <c r="U31" s="83" t="n">
        <v>30</v>
      </c>
      <c r="V31" s="82" t="n">
        <v>515</v>
      </c>
      <c r="W31" s="83" t="n">
        <v>75</v>
      </c>
      <c r="X31" s="82" t="n">
        <v>195000</v>
      </c>
      <c r="Y31" s="84" t="n">
        <v>28282.4</v>
      </c>
      <c r="Z31" s="85"/>
      <c r="AA31" s="85"/>
      <c r="AB31" s="85"/>
      <c r="AC31" s="85"/>
      <c r="AD31" s="85"/>
      <c r="AE31" s="85" t="s">
        <v>137</v>
      </c>
    </row>
    <row r="32" customFormat="false" ht="15" hidden="false" customHeight="false" outlineLevel="0" collapsed="false">
      <c r="A32" s="72" t="s">
        <v>576</v>
      </c>
      <c r="B32" s="72" t="s">
        <v>570</v>
      </c>
      <c r="C32" s="72" t="s">
        <v>577</v>
      </c>
      <c r="D32" s="72" t="s">
        <v>481</v>
      </c>
      <c r="E32" s="72" t="s">
        <v>571</v>
      </c>
      <c r="F32" s="72" t="s">
        <v>572</v>
      </c>
      <c r="G32" s="73" t="n">
        <f aca="false">IF(UNIT_SYSTEM="SI",IF(T32="","",T32),IF(U32="","",U32))</f>
        <v>170</v>
      </c>
      <c r="H32" s="73" t="n">
        <f aca="false">IF(UNIT_SYSTEM="SI",IF(V32="","",V32),IF(W32="","",W32))</f>
        <v>485</v>
      </c>
      <c r="I32" s="73" t="n">
        <f aca="false">IF(UNIT_SYSTEM="SI",IF(X32="","",X32),IF(Y32="","",Y32))</f>
        <v>195000</v>
      </c>
      <c r="J32" s="72" t="s">
        <v>466</v>
      </c>
      <c r="K32" s="72" t="s">
        <v>572</v>
      </c>
      <c r="L32" s="72" t="s">
        <v>573</v>
      </c>
      <c r="M32" s="72" t="s">
        <v>574</v>
      </c>
      <c r="N32" s="72" t="str">
        <f aca="false">IF(UNIT_SYSTEM="SI",IF(Z32="","",Z32),IF(AA32="","",AA32))</f>
        <v/>
      </c>
      <c r="O32" s="72" t="str">
        <f aca="false">IF(UNIT_SYSTEM="SI",IF(AB32="","",AB32),IF(AC32="","",AC32))</f>
        <v/>
      </c>
      <c r="P32" s="72"/>
      <c r="Q32" s="72" t="str">
        <f aca="false">IF(UNIT_SYSTEM="SI",IF(AD32="","",AD32),IF(AE32="","",AE32))</f>
        <v/>
      </c>
      <c r="R32" s="72" t="s">
        <v>575</v>
      </c>
      <c r="S32" s="72"/>
      <c r="T32" s="76" t="n">
        <v>170</v>
      </c>
      <c r="U32" s="77" t="n">
        <v>25</v>
      </c>
      <c r="V32" s="76" t="n">
        <v>485</v>
      </c>
      <c r="W32" s="77" t="n">
        <v>70</v>
      </c>
      <c r="X32" s="76" t="n">
        <v>195000</v>
      </c>
      <c r="Y32" s="78" t="n">
        <v>28282.4</v>
      </c>
      <c r="Z32" s="86"/>
      <c r="AA32" s="86"/>
      <c r="AB32" s="86"/>
      <c r="AC32" s="86"/>
      <c r="AD32" s="86"/>
      <c r="AE32" s="86" t="s">
        <v>137</v>
      </c>
    </row>
    <row r="33" customFormat="false" ht="15" hidden="false" customHeight="false" outlineLevel="0" collapsed="false">
      <c r="A33" s="80" t="s">
        <v>578</v>
      </c>
      <c r="B33" s="80" t="s">
        <v>570</v>
      </c>
      <c r="C33" s="81" t="n">
        <v>316</v>
      </c>
      <c r="D33" s="80" t="s">
        <v>481</v>
      </c>
      <c r="E33" s="80" t="s">
        <v>571</v>
      </c>
      <c r="F33" s="80" t="s">
        <v>572</v>
      </c>
      <c r="G33" s="81" t="n">
        <f aca="false">IF(UNIT_SYSTEM="SI",IF(T33="","",T33),IF(U33="","",U33))</f>
        <v>205</v>
      </c>
      <c r="H33" s="81" t="n">
        <f aca="false">IF(UNIT_SYSTEM="SI",IF(V33="","",V33),IF(W33="","",W33))</f>
        <v>515</v>
      </c>
      <c r="I33" s="81" t="n">
        <f aca="false">IF(UNIT_SYSTEM="SI",IF(X33="","",X33),IF(Y33="","",Y33))</f>
        <v>195000</v>
      </c>
      <c r="J33" s="80" t="s">
        <v>466</v>
      </c>
      <c r="K33" s="80" t="s">
        <v>572</v>
      </c>
      <c r="L33" s="80" t="s">
        <v>573</v>
      </c>
      <c r="M33" s="80" t="s">
        <v>574</v>
      </c>
      <c r="N33" s="80" t="str">
        <f aca="false">IF(UNIT_SYSTEM="SI",IF(Z33="","",Z33),IF(AA33="","",AA33))</f>
        <v/>
      </c>
      <c r="O33" s="80" t="str">
        <f aca="false">IF(UNIT_SYSTEM="SI",IF(AB33="","",AB33),IF(AC33="","",AC33))</f>
        <v/>
      </c>
      <c r="P33" s="80"/>
      <c r="Q33" s="80" t="str">
        <f aca="false">IF(UNIT_SYSTEM="SI",IF(AD33="","",AD33),IF(AE33="","",AE33))</f>
        <v/>
      </c>
      <c r="R33" s="80" t="s">
        <v>575</v>
      </c>
      <c r="S33" s="80"/>
      <c r="T33" s="82" t="n">
        <v>205</v>
      </c>
      <c r="U33" s="83" t="n">
        <v>30</v>
      </c>
      <c r="V33" s="82" t="n">
        <v>515</v>
      </c>
      <c r="W33" s="83" t="n">
        <v>75</v>
      </c>
      <c r="X33" s="82" t="n">
        <v>195000</v>
      </c>
      <c r="Y33" s="84" t="n">
        <v>28282.4</v>
      </c>
      <c r="Z33" s="85"/>
      <c r="AA33" s="85"/>
      <c r="AB33" s="85"/>
      <c r="AC33" s="85"/>
      <c r="AD33" s="85"/>
      <c r="AE33" s="85" t="s">
        <v>137</v>
      </c>
    </row>
    <row r="34" customFormat="false" ht="15" hidden="false" customHeight="false" outlineLevel="0" collapsed="false">
      <c r="A34" s="72" t="s">
        <v>579</v>
      </c>
      <c r="B34" s="72" t="s">
        <v>570</v>
      </c>
      <c r="C34" s="72" t="s">
        <v>580</v>
      </c>
      <c r="D34" s="72" t="s">
        <v>481</v>
      </c>
      <c r="E34" s="72" t="s">
        <v>571</v>
      </c>
      <c r="F34" s="72" t="s">
        <v>572</v>
      </c>
      <c r="G34" s="73" t="n">
        <f aca="false">IF(UNIT_SYSTEM="SI",IF(T34="","",T34),IF(U34="","",U34))</f>
        <v>170</v>
      </c>
      <c r="H34" s="73" t="n">
        <f aca="false">IF(UNIT_SYSTEM="SI",IF(V34="","",V34),IF(W34="","",W34))</f>
        <v>485</v>
      </c>
      <c r="I34" s="73" t="n">
        <f aca="false">IF(UNIT_SYSTEM="SI",IF(X34="","",X34),IF(Y34="","",Y34))</f>
        <v>195000</v>
      </c>
      <c r="J34" s="72" t="s">
        <v>466</v>
      </c>
      <c r="K34" s="72" t="s">
        <v>572</v>
      </c>
      <c r="L34" s="72" t="s">
        <v>573</v>
      </c>
      <c r="M34" s="72" t="s">
        <v>574</v>
      </c>
      <c r="N34" s="72" t="str">
        <f aca="false">IF(UNIT_SYSTEM="SI",IF(Z34="","",Z34),IF(AA34="","",AA34))</f>
        <v/>
      </c>
      <c r="O34" s="72" t="str">
        <f aca="false">IF(UNIT_SYSTEM="SI",IF(AB34="","",AB34),IF(AC34="","",AC34))</f>
        <v/>
      </c>
      <c r="P34" s="72"/>
      <c r="Q34" s="72" t="str">
        <f aca="false">IF(UNIT_SYSTEM="SI",IF(AD34="","",AD34),IF(AE34="","",AE34))</f>
        <v/>
      </c>
      <c r="R34" s="72" t="s">
        <v>575</v>
      </c>
      <c r="S34" s="72"/>
      <c r="T34" s="76" t="n">
        <v>170</v>
      </c>
      <c r="U34" s="77" t="n">
        <v>25</v>
      </c>
      <c r="V34" s="76" t="n">
        <v>485</v>
      </c>
      <c r="W34" s="77" t="n">
        <v>70</v>
      </c>
      <c r="X34" s="76" t="n">
        <v>195000</v>
      </c>
      <c r="Y34" s="78" t="n">
        <v>28282.4</v>
      </c>
      <c r="Z34" s="86"/>
      <c r="AA34" s="86"/>
      <c r="AB34" s="86"/>
      <c r="AC34" s="86"/>
      <c r="AD34" s="86"/>
      <c r="AE34" s="86" t="s">
        <v>137</v>
      </c>
    </row>
    <row r="35" customFormat="false" ht="15" hidden="false" customHeight="false" outlineLevel="0" collapsed="false">
      <c r="A35" s="80" t="s">
        <v>581</v>
      </c>
      <c r="B35" s="80" t="s">
        <v>570</v>
      </c>
      <c r="C35" s="81" t="n">
        <v>321</v>
      </c>
      <c r="D35" s="80" t="s">
        <v>481</v>
      </c>
      <c r="E35" s="80" t="s">
        <v>571</v>
      </c>
      <c r="F35" s="80" t="s">
        <v>572</v>
      </c>
      <c r="G35" s="81" t="n">
        <f aca="false">IF(UNIT_SYSTEM="SI",IF(T35="","",T35),IF(U35="","",U35))</f>
        <v>205</v>
      </c>
      <c r="H35" s="81" t="n">
        <f aca="false">IF(UNIT_SYSTEM="SI",IF(V35="","",V35),IF(W35="","",W35))</f>
        <v>515</v>
      </c>
      <c r="I35" s="81" t="n">
        <f aca="false">IF(UNIT_SYSTEM="SI",IF(X35="","",X35),IF(Y35="","",Y35))</f>
        <v>195000</v>
      </c>
      <c r="J35" s="80" t="s">
        <v>466</v>
      </c>
      <c r="K35" s="80" t="s">
        <v>572</v>
      </c>
      <c r="L35" s="80" t="s">
        <v>573</v>
      </c>
      <c r="M35" s="80" t="s">
        <v>574</v>
      </c>
      <c r="N35" s="80" t="str">
        <f aca="false">IF(UNIT_SYSTEM="SI",IF(Z35="","",Z35),IF(AA35="","",AA35))</f>
        <v/>
      </c>
      <c r="O35" s="80" t="str">
        <f aca="false">IF(UNIT_SYSTEM="SI",IF(AB35="","",AB35),IF(AC35="","",AC35))</f>
        <v/>
      </c>
      <c r="P35" s="80"/>
      <c r="Q35" s="80" t="str">
        <f aca="false">IF(UNIT_SYSTEM="SI",IF(AD35="","",AD35),IF(AE35="","",AE35))</f>
        <v/>
      </c>
      <c r="R35" s="80" t="s">
        <v>575</v>
      </c>
      <c r="S35" s="80"/>
      <c r="T35" s="82" t="n">
        <v>205</v>
      </c>
      <c r="U35" s="83" t="n">
        <v>30</v>
      </c>
      <c r="V35" s="82" t="n">
        <v>515</v>
      </c>
      <c r="W35" s="83" t="n">
        <v>75</v>
      </c>
      <c r="X35" s="82" t="n">
        <v>195000</v>
      </c>
      <c r="Y35" s="84" t="n">
        <v>28282.4</v>
      </c>
      <c r="Z35" s="85"/>
      <c r="AA35" s="85"/>
      <c r="AB35" s="85"/>
      <c r="AC35" s="85"/>
      <c r="AD35" s="85"/>
      <c r="AE35" s="85" t="s">
        <v>137</v>
      </c>
    </row>
    <row r="36" customFormat="false" ht="15" hidden="false" customHeight="false" outlineLevel="0" collapsed="false">
      <c r="A36" s="72" t="s">
        <v>582</v>
      </c>
      <c r="B36" s="72" t="s">
        <v>570</v>
      </c>
      <c r="C36" s="73" t="n">
        <v>347</v>
      </c>
      <c r="D36" s="72" t="s">
        <v>481</v>
      </c>
      <c r="E36" s="72" t="s">
        <v>571</v>
      </c>
      <c r="F36" s="72" t="s">
        <v>572</v>
      </c>
      <c r="G36" s="73" t="n">
        <f aca="false">IF(UNIT_SYSTEM="SI",IF(T36="","",T36),IF(U36="","",U36))</f>
        <v>205</v>
      </c>
      <c r="H36" s="73" t="n">
        <f aca="false">IF(UNIT_SYSTEM="SI",IF(V36="","",V36),IF(W36="","",W36))</f>
        <v>515</v>
      </c>
      <c r="I36" s="73" t="n">
        <f aca="false">IF(UNIT_SYSTEM="SI",IF(X36="","",X36),IF(Y36="","",Y36))</f>
        <v>195000</v>
      </c>
      <c r="J36" s="72" t="s">
        <v>466</v>
      </c>
      <c r="K36" s="72" t="s">
        <v>572</v>
      </c>
      <c r="L36" s="72" t="s">
        <v>573</v>
      </c>
      <c r="M36" s="72" t="s">
        <v>574</v>
      </c>
      <c r="N36" s="72" t="str">
        <f aca="false">IF(UNIT_SYSTEM="SI",IF(Z36="","",Z36),IF(AA36="","",AA36))</f>
        <v/>
      </c>
      <c r="O36" s="72" t="str">
        <f aca="false">IF(UNIT_SYSTEM="SI",IF(AB36="","",AB36),IF(AC36="","",AC36))</f>
        <v/>
      </c>
      <c r="P36" s="72"/>
      <c r="Q36" s="72" t="str">
        <f aca="false">IF(UNIT_SYSTEM="SI",IF(AD36="","",AD36),IF(AE36="","",AE36))</f>
        <v/>
      </c>
      <c r="R36" s="72" t="s">
        <v>575</v>
      </c>
      <c r="S36" s="72"/>
      <c r="T36" s="76" t="n">
        <v>205</v>
      </c>
      <c r="U36" s="77" t="n">
        <v>30</v>
      </c>
      <c r="V36" s="76" t="n">
        <v>515</v>
      </c>
      <c r="W36" s="77" t="n">
        <v>75</v>
      </c>
      <c r="X36" s="76" t="n">
        <v>195000</v>
      </c>
      <c r="Y36" s="78" t="n">
        <v>28282.4</v>
      </c>
      <c r="Z36" s="86"/>
      <c r="AA36" s="86"/>
      <c r="AB36" s="86"/>
      <c r="AC36" s="86"/>
      <c r="AD36" s="86"/>
      <c r="AE36" s="86" t="s">
        <v>137</v>
      </c>
    </row>
    <row r="37" customFormat="false" ht="15" hidden="false" customHeight="false" outlineLevel="0" collapsed="false">
      <c r="A37" s="80" t="s">
        <v>583</v>
      </c>
      <c r="B37" s="80" t="s">
        <v>584</v>
      </c>
      <c r="C37" s="80" t="s">
        <v>585</v>
      </c>
      <c r="D37" s="80" t="s">
        <v>512</v>
      </c>
      <c r="E37" s="80" t="s">
        <v>571</v>
      </c>
      <c r="F37" s="80" t="s">
        <v>572</v>
      </c>
      <c r="G37" s="81" t="n">
        <f aca="false">IF(UNIT_SYSTEM="SI",IF(T37="","",T37),IF(U37="","",U37))</f>
        <v>205</v>
      </c>
      <c r="H37" s="81" t="n">
        <f aca="false">IF(UNIT_SYSTEM="SI",IF(V37="","",V37),IF(W37="","",W37))</f>
        <v>515</v>
      </c>
      <c r="I37" s="81" t="n">
        <f aca="false">IF(UNIT_SYSTEM="SI",IF(X37="","",X37),IF(Y37="","",Y37))</f>
        <v>195000</v>
      </c>
      <c r="J37" s="80" t="s">
        <v>466</v>
      </c>
      <c r="K37" s="80" t="s">
        <v>572</v>
      </c>
      <c r="L37" s="80" t="s">
        <v>573</v>
      </c>
      <c r="M37" s="80" t="s">
        <v>574</v>
      </c>
      <c r="N37" s="80" t="str">
        <f aca="false">IF(UNIT_SYSTEM="SI",IF(Z37="","",Z37),IF(AA37="","",AA37))</f>
        <v/>
      </c>
      <c r="O37" s="80" t="str">
        <f aca="false">IF(UNIT_SYSTEM="SI",IF(AB37="","",AB37),IF(AC37="","",AC37))</f>
        <v/>
      </c>
      <c r="P37" s="80"/>
      <c r="Q37" s="80" t="str">
        <f aca="false">IF(UNIT_SYSTEM="SI",IF(AD37="","",AD37),IF(AE37="","",AE37))</f>
        <v/>
      </c>
      <c r="R37" s="80" t="s">
        <v>575</v>
      </c>
      <c r="S37" s="80"/>
      <c r="T37" s="82" t="n">
        <v>205</v>
      </c>
      <c r="U37" s="83" t="n">
        <v>30</v>
      </c>
      <c r="V37" s="82" t="n">
        <v>515</v>
      </c>
      <c r="W37" s="83" t="n">
        <v>75</v>
      </c>
      <c r="X37" s="82" t="n">
        <v>195000</v>
      </c>
      <c r="Y37" s="84" t="n">
        <v>28282.4</v>
      </c>
      <c r="Z37" s="85"/>
      <c r="AA37" s="85"/>
      <c r="AB37" s="85"/>
      <c r="AC37" s="85"/>
      <c r="AD37" s="85"/>
      <c r="AE37" s="85" t="s">
        <v>137</v>
      </c>
    </row>
    <row r="38" customFormat="false" ht="15" hidden="false" customHeight="false" outlineLevel="0" collapsed="false">
      <c r="A38" s="72" t="s">
        <v>586</v>
      </c>
      <c r="B38" s="72" t="s">
        <v>584</v>
      </c>
      <c r="C38" s="72" t="s">
        <v>587</v>
      </c>
      <c r="D38" s="72" t="s">
        <v>512</v>
      </c>
      <c r="E38" s="72" t="s">
        <v>571</v>
      </c>
      <c r="F38" s="72" t="s">
        <v>572</v>
      </c>
      <c r="G38" s="73" t="n">
        <f aca="false">IF(UNIT_SYSTEM="SI",IF(T38="","",T38),IF(U38="","",U38))</f>
        <v>170</v>
      </c>
      <c r="H38" s="73" t="n">
        <f aca="false">IF(UNIT_SYSTEM="SI",IF(V38="","",V38),IF(W38="","",W38))</f>
        <v>485</v>
      </c>
      <c r="I38" s="73" t="n">
        <f aca="false">IF(UNIT_SYSTEM="SI",IF(X38="","",X38),IF(Y38="","",Y38))</f>
        <v>195000</v>
      </c>
      <c r="J38" s="72" t="s">
        <v>466</v>
      </c>
      <c r="K38" s="72" t="s">
        <v>572</v>
      </c>
      <c r="L38" s="72" t="s">
        <v>573</v>
      </c>
      <c r="M38" s="72" t="s">
        <v>574</v>
      </c>
      <c r="N38" s="72" t="str">
        <f aca="false">IF(UNIT_SYSTEM="SI",IF(Z38="","",Z38),IF(AA38="","",AA38))</f>
        <v/>
      </c>
      <c r="O38" s="72" t="str">
        <f aca="false">IF(UNIT_SYSTEM="SI",IF(AB38="","",AB38),IF(AC38="","",AC38))</f>
        <v/>
      </c>
      <c r="P38" s="72"/>
      <c r="Q38" s="72" t="str">
        <f aca="false">IF(UNIT_SYSTEM="SI",IF(AD38="","",AD38),IF(AE38="","",AE38))</f>
        <v/>
      </c>
      <c r="R38" s="72" t="s">
        <v>575</v>
      </c>
      <c r="S38" s="72"/>
      <c r="T38" s="76" t="n">
        <v>170</v>
      </c>
      <c r="U38" s="77" t="n">
        <v>25</v>
      </c>
      <c r="V38" s="76" t="n">
        <v>485</v>
      </c>
      <c r="W38" s="77" t="n">
        <v>70</v>
      </c>
      <c r="X38" s="76" t="n">
        <v>195000</v>
      </c>
      <c r="Y38" s="78" t="n">
        <v>28282.4</v>
      </c>
      <c r="Z38" s="86"/>
      <c r="AA38" s="86"/>
      <c r="AB38" s="86"/>
      <c r="AC38" s="86"/>
      <c r="AD38" s="86"/>
      <c r="AE38" s="86" t="s">
        <v>137</v>
      </c>
    </row>
    <row r="40" customFormat="false" ht="15" hidden="false" customHeight="false" outlineLevel="0" collapsed="false">
      <c r="A40" s="87" t="s">
        <v>588</v>
      </c>
    </row>
  </sheetData>
  <autoFilter ref="A1:AE3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T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44"/>
    <col collapsed="false" customWidth="true" hidden="false" outlineLevel="0" max="6" min="6" style="0" width="48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26"/>
    <col collapsed="false" customWidth="true" hidden="false" outlineLevel="0" max="10" min="10" style="0" width="12"/>
    <col collapsed="false" customWidth="true" hidden="false" outlineLevel="0" max="12" min="11" style="0" width="26"/>
    <col collapsed="false" customWidth="true" hidden="true" outlineLevel="0" max="16" min="13" style="0" width="27"/>
    <col collapsed="false" customWidth="true" hidden="true" outlineLevel="0" max="18" min="17" style="0" width="22"/>
    <col collapsed="false" customWidth="true" hidden="true" outlineLevel="0" max="20" min="19" style="0" width="20"/>
  </cols>
  <sheetData>
    <row r="1" customFormat="false" ht="30" hidden="false" customHeight="true" outlineLevel="0" collapsed="false">
      <c r="A1" s="70" t="s">
        <v>589</v>
      </c>
      <c r="B1" s="70" t="s">
        <v>590</v>
      </c>
      <c r="C1" s="70" t="s">
        <v>234</v>
      </c>
      <c r="D1" s="70" t="s">
        <v>591</v>
      </c>
      <c r="E1" s="70" t="s">
        <v>592</v>
      </c>
      <c r="F1" s="70" t="s">
        <v>593</v>
      </c>
      <c r="G1" s="70" t="str">
        <f aca="false">IF(UNIT_SYSTEM="SI","C1 (mm/cycle)","C1 (in/cycle)")</f>
        <v>C1 (mm/cycle)</v>
      </c>
      <c r="H1" s="70" t="s">
        <v>240</v>
      </c>
      <c r="I1" s="70" t="str">
        <f aca="false">IF(UNIT_SYSTEM="SI","C2 (mm/cycle)","C2 (in/cycle)")</f>
        <v>C2 (mm/cycle)</v>
      </c>
      <c r="J1" s="70" t="s">
        <v>242</v>
      </c>
      <c r="K1" s="70" t="str">
        <f aca="false">IF(UNIT_SYSTEM="SI","dK transition (MPa√m)","dK transition (ksi√in)")</f>
        <v>dK transition (MPa√m)</v>
      </c>
      <c r="L1" s="70" t="str">
        <f aca="false">IF(UNIT_SYSTEM="SI","dKth (MPa√m)","dKth (ksi√in)")</f>
        <v>dKth (MPa√m)</v>
      </c>
      <c r="M1" s="71" t="s">
        <v>594</v>
      </c>
      <c r="N1" s="71" t="s">
        <v>595</v>
      </c>
      <c r="O1" s="71" t="s">
        <v>596</v>
      </c>
      <c r="P1" s="71" t="s">
        <v>597</v>
      </c>
      <c r="Q1" s="71" t="s">
        <v>598</v>
      </c>
      <c r="R1" s="71" t="s">
        <v>599</v>
      </c>
      <c r="S1" s="71" t="s">
        <v>600</v>
      </c>
      <c r="T1" s="71" t="s">
        <v>601</v>
      </c>
    </row>
    <row r="2" customFormat="false" ht="15" hidden="false" customHeight="false" outlineLevel="0" collapsed="false">
      <c r="A2" s="72" t="s">
        <v>468</v>
      </c>
      <c r="B2" s="72" t="s">
        <v>94</v>
      </c>
      <c r="C2" s="72" t="s">
        <v>602</v>
      </c>
      <c r="D2" s="72" t="s">
        <v>603</v>
      </c>
      <c r="E2" s="72" t="s">
        <v>604</v>
      </c>
      <c r="F2" s="72" t="s">
        <v>605</v>
      </c>
      <c r="G2" s="72" t="str">
        <f aca="false">IF(UNIT_SYSTEM="SI",IF(M2="","",M2),IF(N2="","",N2))</f>
        <v/>
      </c>
      <c r="H2" s="72"/>
      <c r="I2" s="72" t="str">
        <f aca="false">IF(UNIT_SYSTEM="SI",IF(O2="","",O2),IF(P2="","",P2))</f>
        <v/>
      </c>
      <c r="J2" s="72"/>
      <c r="K2" s="72" t="str">
        <f aca="false">IF(UNIT_SYSTEM="SI",IF(Q2="","",Q2),IF(R2="","",R2))</f>
        <v/>
      </c>
      <c r="L2" s="72" t="str">
        <f aca="false">IF(UNIT_SYSTEM="SI",IF(S2="","",S2),IF(T2="","",T2))</f>
        <v/>
      </c>
      <c r="M2" s="86"/>
      <c r="N2" s="86"/>
      <c r="O2" s="86"/>
      <c r="P2" s="86"/>
      <c r="Q2" s="86"/>
      <c r="R2" s="86"/>
      <c r="S2" s="86"/>
      <c r="T2" s="86"/>
    </row>
    <row r="3" customFormat="false" ht="15" hidden="false" customHeight="false" outlineLevel="0" collapsed="false">
      <c r="A3" s="80" t="s">
        <v>606</v>
      </c>
      <c r="B3" s="80" t="s">
        <v>94</v>
      </c>
      <c r="C3" s="80" t="s">
        <v>6</v>
      </c>
      <c r="D3" s="80" t="s">
        <v>603</v>
      </c>
      <c r="E3" s="80" t="s">
        <v>607</v>
      </c>
      <c r="F3" s="80" t="s">
        <v>608</v>
      </c>
      <c r="G3" s="80" t="str">
        <f aca="false">IF(UNIT_SYSTEM="SI",IF(M3="","",M3),IF(N3="","",N3))</f>
        <v/>
      </c>
      <c r="H3" s="80"/>
      <c r="I3" s="80" t="str">
        <f aca="false">IF(UNIT_SYSTEM="SI",IF(O3="","",O3),IF(P3="","",P3))</f>
        <v/>
      </c>
      <c r="J3" s="80"/>
      <c r="K3" s="80" t="str">
        <f aca="false">IF(UNIT_SYSTEM="SI",IF(Q3="","",Q3),IF(R3="","",R3))</f>
        <v/>
      </c>
      <c r="L3" s="80" t="str">
        <f aca="false">IF(UNIT_SYSTEM="SI",IF(S3="","",S3),IF(T3="","",T3))</f>
        <v/>
      </c>
      <c r="M3" s="85"/>
      <c r="N3" s="85"/>
      <c r="O3" s="85"/>
      <c r="P3" s="85"/>
      <c r="Q3" s="85"/>
      <c r="R3" s="85"/>
      <c r="S3" s="85"/>
      <c r="T3" s="85"/>
    </row>
    <row r="4" customFormat="false" ht="15" hidden="false" customHeight="false" outlineLevel="0" collapsed="false">
      <c r="A4" s="72" t="s">
        <v>609</v>
      </c>
      <c r="B4" s="72" t="s">
        <v>94</v>
      </c>
      <c r="C4" s="72" t="str">
        <f aca="false">IF(UNIT_SYSTEM="SI","9F.4M","9F.4")</f>
        <v>9F.4M</v>
      </c>
      <c r="D4" s="72" t="s">
        <v>603</v>
      </c>
      <c r="E4" s="72" t="s">
        <v>610</v>
      </c>
      <c r="F4" s="72" t="s">
        <v>611</v>
      </c>
      <c r="G4" s="74" t="n">
        <f aca="false">IF(UNIT_SYSTEM="SI",IF(M4="","",M4),IF(N4="","",N4))</f>
        <v>1.36E-007</v>
      </c>
      <c r="H4" s="75" t="n">
        <v>2.25</v>
      </c>
      <c r="I4" s="72" t="str">
        <f aca="false">IF(UNIT_SYSTEM="SI",IF(O4="","",O4),IF(P4="","",P4))</f>
        <v/>
      </c>
      <c r="J4" s="72"/>
      <c r="K4" s="72" t="str">
        <f aca="false">IF(UNIT_SYSTEM="SI",IF(Q4="","",Q4),IF(R4="","",R4))</f>
        <v/>
      </c>
      <c r="L4" s="72" t="str">
        <f aca="false">IF(UNIT_SYSTEM="SI",IF(S4="","",S4),IF(T4="","",T4))</f>
        <v>7.0*(1-0.85*R)</v>
      </c>
      <c r="M4" s="79" t="n">
        <v>1.36E-007</v>
      </c>
      <c r="N4" s="79" t="n">
        <v>6.6E-009</v>
      </c>
      <c r="O4" s="86"/>
      <c r="P4" s="86"/>
      <c r="Q4" s="86"/>
      <c r="R4" s="86"/>
      <c r="S4" s="86" t="s">
        <v>612</v>
      </c>
      <c r="T4" s="86" t="s">
        <v>613</v>
      </c>
    </row>
    <row r="5" customFormat="false" ht="15" hidden="false" customHeight="false" outlineLevel="0" collapsed="false">
      <c r="A5" s="80" t="s">
        <v>475</v>
      </c>
      <c r="B5" s="80" t="s">
        <v>94</v>
      </c>
      <c r="C5" s="80" t="str">
        <f aca="false">IF(UNIT_SYSTEM="SI","9F.4M","9F.4")</f>
        <v>9F.4M</v>
      </c>
      <c r="D5" s="80" t="s">
        <v>603</v>
      </c>
      <c r="E5" s="80" t="s">
        <v>614</v>
      </c>
      <c r="F5" s="80" t="s">
        <v>615</v>
      </c>
      <c r="G5" s="88" t="n">
        <f aca="false">IF(UNIT_SYSTEM="SI",IF(M5="","",M5),IF(N5="","",N5))</f>
        <v>6.89E-009</v>
      </c>
      <c r="H5" s="89" t="n">
        <v>3</v>
      </c>
      <c r="I5" s="80" t="str">
        <f aca="false">IF(UNIT_SYSTEM="SI",IF(O5="","",O5),IF(P5="","",P5))</f>
        <v/>
      </c>
      <c r="J5" s="80"/>
      <c r="K5" s="80" t="str">
        <f aca="false">IF(UNIT_SYSTEM="SI",IF(Q5="","",Q5),IF(R5="","",R5))</f>
        <v/>
      </c>
      <c r="L5" s="80" t="str">
        <f aca="false">IF(UNIT_SYSTEM="SI",IF(S5="","",S5),IF(T5="","",T5))</f>
        <v>7.0*(1-0.85*R)</v>
      </c>
      <c r="M5" s="90" t="n">
        <v>6.89E-009</v>
      </c>
      <c r="N5" s="90" t="n">
        <v>3.6E-010</v>
      </c>
      <c r="O5" s="85"/>
      <c r="P5" s="85"/>
      <c r="Q5" s="85"/>
      <c r="R5" s="85"/>
      <c r="S5" s="85" t="s">
        <v>612</v>
      </c>
      <c r="T5" s="85" t="s">
        <v>613</v>
      </c>
    </row>
    <row r="6" customFormat="false" ht="15" hidden="false" customHeight="false" outlineLevel="0" collapsed="false">
      <c r="A6" s="72" t="s">
        <v>573</v>
      </c>
      <c r="B6" s="72" t="s">
        <v>94</v>
      </c>
      <c r="C6" s="72" t="str">
        <f aca="false">IF(UNIT_SYSTEM="SI","9F.4M","9F.4")</f>
        <v>9F.4M</v>
      </c>
      <c r="D6" s="72" t="s">
        <v>603</v>
      </c>
      <c r="E6" s="72" t="s">
        <v>616</v>
      </c>
      <c r="F6" s="72" t="s">
        <v>615</v>
      </c>
      <c r="G6" s="74" t="n">
        <f aca="false">IF(UNIT_SYSTEM="SI",IF(M6="","",M6),IF(N6="","",N6))</f>
        <v>5.61E-009</v>
      </c>
      <c r="H6" s="75" t="n">
        <v>3.25</v>
      </c>
      <c r="I6" s="72" t="str">
        <f aca="false">IF(UNIT_SYSTEM="SI",IF(O6="","",O6),IF(P6="","",P6))</f>
        <v/>
      </c>
      <c r="J6" s="72"/>
      <c r="K6" s="72" t="str">
        <f aca="false">IF(UNIT_SYSTEM="SI",IF(Q6="","",Q6),IF(R6="","",R6))</f>
        <v/>
      </c>
      <c r="L6" s="72" t="str">
        <f aca="false">IF(UNIT_SYSTEM="SI",IF(S6="","",S6),IF(T6="","",T6))</f>
        <v>7.0*(1-0.85*R)</v>
      </c>
      <c r="M6" s="79" t="n">
        <v>5.61E-009</v>
      </c>
      <c r="N6" s="79" t="n">
        <v>3E-010</v>
      </c>
      <c r="O6" s="86"/>
      <c r="P6" s="86"/>
      <c r="Q6" s="86"/>
      <c r="R6" s="86"/>
      <c r="S6" s="86" t="s">
        <v>612</v>
      </c>
      <c r="T6" s="86" t="s">
        <v>613</v>
      </c>
    </row>
    <row r="7" customFormat="false" ht="15" hidden="false" customHeight="false" outlineLevel="0" collapsed="false">
      <c r="A7" s="80" t="s">
        <v>617</v>
      </c>
      <c r="B7" s="80" t="s">
        <v>94</v>
      </c>
      <c r="C7" s="80" t="str">
        <f aca="false">IF(UNIT_SYSTEM="SI","9F.5M","9F.5")</f>
        <v>9F.5M</v>
      </c>
      <c r="D7" s="80" t="s">
        <v>618</v>
      </c>
      <c r="E7" s="80" t="s">
        <v>619</v>
      </c>
      <c r="F7" s="80" t="s">
        <v>620</v>
      </c>
      <c r="G7" s="88" t="n">
        <f aca="false">IF(UNIT_SYSTEM="SI",IF(M7="","",M7),IF(N7="","",N7))</f>
        <v>2.6E-008</v>
      </c>
      <c r="H7" s="89" t="n">
        <v>2.75</v>
      </c>
      <c r="I7" s="80" t="str">
        <f aca="false">IF(UNIT_SYSTEM="SI",IF(O7="","",O7),IF(P7="","",P7))</f>
        <v/>
      </c>
      <c r="J7" s="80"/>
      <c r="K7" s="80" t="str">
        <f aca="false">IF(UNIT_SYSTEM="SI",IF(Q7="","",Q7),IF(R7="","",R7))</f>
        <v/>
      </c>
      <c r="L7" s="89" t="n">
        <f aca="false">IF(UNIT_SYSTEM="SI",IF(S7="","",S7),IF(T7="","",T7))</f>
        <v>2</v>
      </c>
      <c r="M7" s="90" t="n">
        <v>2.6E-008</v>
      </c>
      <c r="N7" s="90" t="n">
        <v>1.33E-009</v>
      </c>
      <c r="O7" s="85"/>
      <c r="P7" s="85"/>
      <c r="Q7" s="85"/>
      <c r="R7" s="85"/>
      <c r="S7" s="83" t="n">
        <v>2</v>
      </c>
      <c r="T7" s="83" t="n">
        <v>1.82</v>
      </c>
    </row>
    <row r="8" customFormat="false" ht="15" hidden="false" customHeight="false" outlineLevel="0" collapsed="false">
      <c r="A8" s="72" t="s">
        <v>621</v>
      </c>
      <c r="B8" s="72" t="s">
        <v>94</v>
      </c>
      <c r="C8" s="72" t="str">
        <f aca="false">IF(UNIT_SYSTEM="SI","9F.5M","9F.5")</f>
        <v>9F.5M</v>
      </c>
      <c r="D8" s="72" t="s">
        <v>618</v>
      </c>
      <c r="E8" s="72" t="s">
        <v>622</v>
      </c>
      <c r="F8" s="72" t="s">
        <v>620</v>
      </c>
      <c r="G8" s="74" t="n">
        <f aca="false">IF(UNIT_SYSTEM="SI",IF(M8="","",M8),IF(N8="","",N8))</f>
        <v>1.45E-008</v>
      </c>
      <c r="H8" s="75" t="n">
        <v>2.75</v>
      </c>
      <c r="I8" s="72" t="str">
        <f aca="false">IF(UNIT_SYSTEM="SI",IF(O8="","",O8),IF(P8="","",P8))</f>
        <v/>
      </c>
      <c r="J8" s="72"/>
      <c r="K8" s="72" t="str">
        <f aca="false">IF(UNIT_SYSTEM="SI",IF(Q8="","",Q8),IF(R8="","",R8))</f>
        <v/>
      </c>
      <c r="L8" s="75" t="n">
        <f aca="false">IF(UNIT_SYSTEM="SI",IF(S8="","",S8),IF(T8="","",T8))</f>
        <v>2.45</v>
      </c>
      <c r="M8" s="79" t="n">
        <v>1.45E-008</v>
      </c>
      <c r="N8" s="79" t="n">
        <v>7.4E-010</v>
      </c>
      <c r="O8" s="86"/>
      <c r="P8" s="86"/>
      <c r="Q8" s="86"/>
      <c r="R8" s="86"/>
      <c r="S8" s="77" t="n">
        <v>2.45</v>
      </c>
      <c r="T8" s="77" t="n">
        <v>2.18</v>
      </c>
    </row>
    <row r="9" customFormat="false" ht="15" hidden="false" customHeight="false" outlineLevel="0" collapsed="false">
      <c r="A9" s="80" t="s">
        <v>623</v>
      </c>
      <c r="B9" s="80" t="s">
        <v>94</v>
      </c>
      <c r="C9" s="80" t="str">
        <f aca="false">IF(UNIT_SYSTEM="SI","9F.6M","9F.6")</f>
        <v>9F.6M</v>
      </c>
      <c r="D9" s="80" t="s">
        <v>603</v>
      </c>
      <c r="E9" s="80" t="s">
        <v>624</v>
      </c>
      <c r="F9" s="80" t="s">
        <v>625</v>
      </c>
      <c r="G9" s="88" t="n">
        <f aca="false">IF(UNIT_SYSTEM="SI",IF(M9="","",M9),IF(N9="","",N9))</f>
        <v>1.65E-008</v>
      </c>
      <c r="H9" s="89" t="n">
        <v>3</v>
      </c>
      <c r="I9" s="80" t="str">
        <f aca="false">IF(UNIT_SYSTEM="SI",IF(O9="","",O9),IF(P9="","",P9))</f>
        <v/>
      </c>
      <c r="J9" s="80"/>
      <c r="K9" s="80" t="str">
        <f aca="false">IF(UNIT_SYSTEM="SI",IF(Q9="","",Q9),IF(R9="","",R9))</f>
        <v/>
      </c>
      <c r="L9" s="89" t="n">
        <f aca="false">IF(UNIT_SYSTEM="SI",IF(S9="","",S9),IF(T9="","",T9))</f>
        <v>2</v>
      </c>
      <c r="M9" s="90" t="n">
        <v>1.65E-008</v>
      </c>
      <c r="N9" s="90" t="n">
        <v>8.61E-010</v>
      </c>
      <c r="O9" s="85"/>
      <c r="P9" s="85"/>
      <c r="Q9" s="85"/>
      <c r="R9" s="85"/>
      <c r="S9" s="83" t="n">
        <v>2</v>
      </c>
      <c r="T9" s="83" t="n">
        <v>1.8</v>
      </c>
    </row>
    <row r="10" customFormat="false" ht="15" hidden="false" customHeight="false" outlineLevel="0" collapsed="false">
      <c r="A10" s="72" t="s">
        <v>626</v>
      </c>
      <c r="B10" s="72" t="s">
        <v>94</v>
      </c>
      <c r="C10" s="72" t="str">
        <f aca="false">IF(UNIT_SYSTEM="SI","9F.6M","9F.6")</f>
        <v>9F.6M</v>
      </c>
      <c r="D10" s="72" t="s">
        <v>627</v>
      </c>
      <c r="E10" s="72" t="s">
        <v>628</v>
      </c>
      <c r="F10" s="72" t="s">
        <v>629</v>
      </c>
      <c r="G10" s="74" t="n">
        <f aca="false">IF(UNIT_SYSTEM="SI",IF(M10="","",M10),IF(N10="","",N10))</f>
        <v>1.65E-008</v>
      </c>
      <c r="H10" s="75" t="n">
        <v>3</v>
      </c>
      <c r="I10" s="72" t="str">
        <f aca="false">IF(UNIT_SYSTEM="SI",IF(O10="","",O10),IF(P10="","",P10))</f>
        <v/>
      </c>
      <c r="J10" s="72"/>
      <c r="K10" s="72" t="str">
        <f aca="false">IF(UNIT_SYSTEM="SI",IF(Q10="","",Q10),IF(R10="","",R10))</f>
        <v/>
      </c>
      <c r="L10" s="75" t="n">
        <f aca="false">IF(UNIT_SYSTEM="SI",IF(S10="","",S10),IF(T10="","",T10))</f>
        <v>2</v>
      </c>
      <c r="M10" s="79" t="n">
        <v>1.65E-008</v>
      </c>
      <c r="N10" s="79" t="n">
        <v>8.61E-010</v>
      </c>
      <c r="O10" s="86"/>
      <c r="P10" s="86"/>
      <c r="Q10" s="86"/>
      <c r="R10" s="86"/>
      <c r="S10" s="77" t="n">
        <v>2</v>
      </c>
      <c r="T10" s="77" t="n">
        <v>1.8</v>
      </c>
    </row>
    <row r="11" customFormat="false" ht="15" hidden="false" customHeight="false" outlineLevel="0" collapsed="false">
      <c r="A11" s="80" t="s">
        <v>630</v>
      </c>
      <c r="B11" s="80" t="s">
        <v>94</v>
      </c>
      <c r="C11" s="80" t="str">
        <f aca="false">IF(UNIT_SYSTEM="SI","9F.6M","9F.6")</f>
        <v>9F.6M</v>
      </c>
      <c r="D11" s="80" t="s">
        <v>603</v>
      </c>
      <c r="E11" s="80" t="s">
        <v>631</v>
      </c>
      <c r="F11" s="80" t="s">
        <v>632</v>
      </c>
      <c r="G11" s="88" t="n">
        <f aca="false">IF(UNIT_SYSTEM="SI",IF(M11="","",M11),IF(N11="","",N11))</f>
        <v>7.27E-008</v>
      </c>
      <c r="H11" s="89" t="n">
        <v>3</v>
      </c>
      <c r="I11" s="80" t="str">
        <f aca="false">IF(UNIT_SYSTEM="SI",IF(O11="","",O11),IF(P11="","",P11))</f>
        <v/>
      </c>
      <c r="J11" s="80"/>
      <c r="K11" s="80" t="str">
        <f aca="false">IF(UNIT_SYSTEM="SI",IF(Q11="","",Q11),IF(R11="","",R11))</f>
        <v/>
      </c>
      <c r="L11" s="89" t="n">
        <f aca="false">IF(UNIT_SYSTEM="SI",IF(S11="","",S11),IF(T11="","",T11))</f>
        <v>2</v>
      </c>
      <c r="M11" s="90" t="n">
        <v>7.27E-008</v>
      </c>
      <c r="N11" s="90" t="n">
        <v>3.8E-009</v>
      </c>
      <c r="O11" s="85"/>
      <c r="P11" s="85"/>
      <c r="Q11" s="85"/>
      <c r="R11" s="85"/>
      <c r="S11" s="83" t="n">
        <v>2</v>
      </c>
      <c r="T11" s="83" t="n">
        <v>1.8</v>
      </c>
    </row>
    <row r="12" customFormat="false" ht="15" hidden="false" customHeight="false" outlineLevel="0" collapsed="false">
      <c r="A12" s="72" t="s">
        <v>633</v>
      </c>
      <c r="B12" s="72" t="s">
        <v>94</v>
      </c>
      <c r="C12" s="72" t="str">
        <f aca="false">IF(UNIT_SYSTEM="SI","9F.6M","9F.6")</f>
        <v>9F.6M</v>
      </c>
      <c r="D12" s="72" t="s">
        <v>603</v>
      </c>
      <c r="E12" s="72" t="s">
        <v>634</v>
      </c>
      <c r="F12" s="72" t="s">
        <v>632</v>
      </c>
      <c r="G12" s="74" t="n">
        <f aca="false">IF(UNIT_SYSTEM="SI",IF(M12="","",M12),IF(N12="","",N12))</f>
        <v>7.27E-008</v>
      </c>
      <c r="H12" s="75" t="n">
        <v>3</v>
      </c>
      <c r="I12" s="72" t="str">
        <f aca="false">IF(UNIT_SYSTEM="SI",IF(O12="","",O12),IF(P12="","",P12))</f>
        <v/>
      </c>
      <c r="J12" s="72"/>
      <c r="K12" s="72" t="str">
        <f aca="false">IF(UNIT_SYSTEM="SI",IF(Q12="","",Q12),IF(R12="","",R12))</f>
        <v/>
      </c>
      <c r="L12" s="75" t="n">
        <f aca="false">IF(UNIT_SYSTEM="SI",IF(S12="","",S12),IF(T12="","",T12))</f>
        <v>0</v>
      </c>
      <c r="M12" s="79" t="n">
        <v>7.27E-008</v>
      </c>
      <c r="N12" s="79" t="n">
        <v>3.8E-009</v>
      </c>
      <c r="O12" s="86"/>
      <c r="P12" s="86"/>
      <c r="Q12" s="86"/>
      <c r="R12" s="86"/>
      <c r="S12" s="77" t="n">
        <v>0</v>
      </c>
      <c r="T12" s="77" t="n">
        <v>0</v>
      </c>
    </row>
    <row r="13" customFormat="false" ht="15" hidden="false" customHeight="false" outlineLevel="0" collapsed="false">
      <c r="A13" s="80" t="s">
        <v>635</v>
      </c>
      <c r="B13" s="80" t="s">
        <v>636</v>
      </c>
      <c r="C13" s="80" t="str">
        <f aca="false">IF(UNIT_SYSTEM="SI","9F.7/9F.8M","9F.7/9F.8")</f>
        <v>9F.7/9F.8M</v>
      </c>
      <c r="D13" s="80" t="s">
        <v>637</v>
      </c>
      <c r="E13" s="80" t="s">
        <v>638</v>
      </c>
      <c r="F13" s="80" t="s">
        <v>639</v>
      </c>
      <c r="G13" s="88" t="n">
        <f aca="false">IF(UNIT_SYSTEM="SI",IF(M13="","",M13),IF(N13="","",N13))</f>
        <v>7.59E-014</v>
      </c>
      <c r="H13" s="89" t="n">
        <v>8.16</v>
      </c>
      <c r="I13" s="88" t="n">
        <f aca="false">IF(UNIT_SYSTEM="SI",IF(O13="","",O13),IF(P13="","",P13))</f>
        <v>1.41E-008</v>
      </c>
      <c r="J13" s="89" t="n">
        <v>2.88</v>
      </c>
      <c r="K13" s="89" t="n">
        <f aca="false">IF(UNIT_SYSTEM="SI",IF(Q13="","",Q13),IF(R13="","",R13))</f>
        <v>9.96</v>
      </c>
      <c r="L13" s="89" t="n">
        <f aca="false">IF(UNIT_SYSTEM="SI",IF(S13="","",S13),IF(T13="","",T13))</f>
        <v>2</v>
      </c>
      <c r="M13" s="90" t="n">
        <v>7.59E-014</v>
      </c>
      <c r="N13" s="90" t="n">
        <v>6.45E-015</v>
      </c>
      <c r="O13" s="90" t="n">
        <v>1.41E-008</v>
      </c>
      <c r="P13" s="90" t="n">
        <v>7.31E-010</v>
      </c>
      <c r="Q13" s="83" t="n">
        <v>9.96</v>
      </c>
      <c r="R13" s="83" t="n">
        <v>9.07</v>
      </c>
      <c r="S13" s="83" t="n">
        <v>2</v>
      </c>
      <c r="T13" s="83" t="n">
        <v>1.8</v>
      </c>
    </row>
    <row r="14" customFormat="false" ht="15" hidden="false" customHeight="false" outlineLevel="0" collapsed="false">
      <c r="A14" s="72" t="s">
        <v>640</v>
      </c>
      <c r="B14" s="72" t="s">
        <v>636</v>
      </c>
      <c r="C14" s="72" t="str">
        <f aca="false">IF(UNIT_SYSTEM="SI","9F.7/9F.8M","9F.7/9F.8")</f>
        <v>9F.7/9F.8M</v>
      </c>
      <c r="D14" s="72" t="s">
        <v>637</v>
      </c>
      <c r="E14" s="72" t="s">
        <v>641</v>
      </c>
      <c r="F14" s="72" t="s">
        <v>639</v>
      </c>
      <c r="G14" s="74" t="n">
        <f aca="false">IF(UNIT_SYSTEM="SI",IF(M14="","",M14),IF(N14="","",N14))</f>
        <v>2.1E-014</v>
      </c>
      <c r="H14" s="75" t="n">
        <v>8.16</v>
      </c>
      <c r="I14" s="74" t="n">
        <f aca="false">IF(UNIT_SYSTEM="SI",IF(O14="","",O14),IF(P14="","",P14))</f>
        <v>8.32E-009</v>
      </c>
      <c r="J14" s="75" t="n">
        <v>2.88</v>
      </c>
      <c r="K14" s="75" t="n">
        <f aca="false">IF(UNIT_SYSTEM="SI",IF(Q14="","",Q14),IF(R14="","",R14))</f>
        <v>11.48</v>
      </c>
      <c r="L14" s="75" t="n">
        <f aca="false">IF(UNIT_SYSTEM="SI",IF(S14="","",S14),IF(T14="","",T14))</f>
        <v>2</v>
      </c>
      <c r="M14" s="79" t="n">
        <v>2.1E-014</v>
      </c>
      <c r="N14" s="79" t="n">
        <v>1.79E-015</v>
      </c>
      <c r="O14" s="79" t="n">
        <v>8.32E-009</v>
      </c>
      <c r="P14" s="79" t="n">
        <v>4.29E-010</v>
      </c>
      <c r="Q14" s="77" t="n">
        <v>11.48</v>
      </c>
      <c r="R14" s="77" t="n">
        <v>10.45</v>
      </c>
      <c r="S14" s="77" t="n">
        <v>2</v>
      </c>
      <c r="T14" s="77" t="n">
        <v>1.8</v>
      </c>
    </row>
    <row r="15" customFormat="false" ht="15" hidden="false" customHeight="false" outlineLevel="0" collapsed="false">
      <c r="A15" s="80" t="s">
        <v>635</v>
      </c>
      <c r="B15" s="80" t="s">
        <v>642</v>
      </c>
      <c r="C15" s="80" t="str">
        <f aca="false">IF(UNIT_SYSTEM="SI","9F.7/9F.8M","9F.7/9F.8")</f>
        <v>9F.7/9F.8M</v>
      </c>
      <c r="D15" s="80" t="s">
        <v>637</v>
      </c>
      <c r="E15" s="80" t="s">
        <v>638</v>
      </c>
      <c r="F15" s="80" t="s">
        <v>639</v>
      </c>
      <c r="G15" s="88" t="n">
        <f aca="false">IF(UNIT_SYSTEM="SI",IF(M15="","",M15),IF(N15="","",N15))</f>
        <v>9.38E-010</v>
      </c>
      <c r="H15" s="89" t="n">
        <v>5.1</v>
      </c>
      <c r="I15" s="88" t="n">
        <f aca="false">IF(UNIT_SYSTEM="SI",IF(O15="","",O15),IF(P15="","",P15))</f>
        <v>2.7E-008</v>
      </c>
      <c r="J15" s="89" t="n">
        <v>2.88</v>
      </c>
      <c r="K15" s="89" t="n">
        <f aca="false">IF(UNIT_SYSTEM="SI",IF(Q15="","",Q15),IF(R15="","",R15))</f>
        <v>4.55</v>
      </c>
      <c r="L15" s="89" t="n">
        <f aca="false">IF(UNIT_SYSTEM="SI",IF(S15="","",S15),IF(T15="","",T15))</f>
        <v>2</v>
      </c>
      <c r="M15" s="90" t="n">
        <v>9.38E-010</v>
      </c>
      <c r="N15" s="90" t="n">
        <v>5.97E-011</v>
      </c>
      <c r="O15" s="90" t="n">
        <v>2.7E-008</v>
      </c>
      <c r="P15" s="90" t="n">
        <v>1.39E-009</v>
      </c>
      <c r="Q15" s="83" t="n">
        <v>4.55</v>
      </c>
      <c r="R15" s="83" t="n">
        <v>4.14</v>
      </c>
      <c r="S15" s="83" t="n">
        <v>2</v>
      </c>
      <c r="T15" s="83" t="n">
        <v>1.8</v>
      </c>
    </row>
    <row r="16" customFormat="false" ht="15" hidden="false" customHeight="false" outlineLevel="0" collapsed="false">
      <c r="A16" s="72" t="s">
        <v>640</v>
      </c>
      <c r="B16" s="72" t="s">
        <v>642</v>
      </c>
      <c r="C16" s="72" t="str">
        <f aca="false">IF(UNIT_SYSTEM="SI","9F.7/9F.8M","9F.7/9F.8")</f>
        <v>9F.7/9F.8M</v>
      </c>
      <c r="D16" s="72" t="s">
        <v>637</v>
      </c>
      <c r="E16" s="72" t="s">
        <v>641</v>
      </c>
      <c r="F16" s="72" t="s">
        <v>639</v>
      </c>
      <c r="G16" s="74" t="n">
        <f aca="false">IF(UNIT_SYSTEM="SI",IF(M16="","",M16),IF(N16="","",N16))</f>
        <v>2.14E-010</v>
      </c>
      <c r="H16" s="75" t="n">
        <v>5.1</v>
      </c>
      <c r="I16" s="74" t="n">
        <f aca="false">IF(UNIT_SYSTEM="SI",IF(O16="","",O16),IF(P16="","",P16))</f>
        <v>1.22E-008</v>
      </c>
      <c r="J16" s="75" t="n">
        <v>2.88</v>
      </c>
      <c r="K16" s="75" t="n">
        <f aca="false">IF(UNIT_SYSTEM="SI",IF(Q16="","",Q16),IF(R16="","",R16))</f>
        <v>6.2</v>
      </c>
      <c r="L16" s="75" t="n">
        <f aca="false">IF(UNIT_SYSTEM="SI",IF(S16="","",S16),IF(T16="","",T16))</f>
        <v>2</v>
      </c>
      <c r="M16" s="79" t="n">
        <v>2.14E-010</v>
      </c>
      <c r="N16" s="79" t="n">
        <v>1.37E-011</v>
      </c>
      <c r="O16" s="79" t="n">
        <v>1.22E-008</v>
      </c>
      <c r="P16" s="79" t="n">
        <v>6.32E-010</v>
      </c>
      <c r="Q16" s="77" t="n">
        <v>6.2</v>
      </c>
      <c r="R16" s="77" t="n">
        <v>5.64</v>
      </c>
      <c r="S16" s="77" t="n">
        <v>2</v>
      </c>
      <c r="T16" s="77" t="n">
        <v>1.8</v>
      </c>
    </row>
    <row r="17" customFormat="false" ht="15" hidden="false" customHeight="false" outlineLevel="0" collapsed="false">
      <c r="A17" s="80" t="s">
        <v>643</v>
      </c>
      <c r="B17" s="80" t="s">
        <v>636</v>
      </c>
      <c r="C17" s="80" t="str">
        <f aca="false">IF(UNIT_SYSTEM="SI","9F.7/9F.8M","9F.7/9F.8")</f>
        <v>9F.7/9F.8M</v>
      </c>
      <c r="D17" s="80" t="s">
        <v>637</v>
      </c>
      <c r="E17" s="80" t="s">
        <v>644</v>
      </c>
      <c r="F17" s="80" t="s">
        <v>645</v>
      </c>
      <c r="G17" s="88" t="n">
        <f aca="false">IF(UNIT_SYSTEM="SI",IF(M17="","",M17),IF(N17="","",N17))</f>
        <v>1.15E-008</v>
      </c>
      <c r="H17" s="89" t="n">
        <v>3.42</v>
      </c>
      <c r="I17" s="88" t="n">
        <f aca="false">IF(UNIT_SYSTEM="SI",IF(O17="","",O17),IF(P17="","",P17))</f>
        <v>1.72E-005</v>
      </c>
      <c r="J17" s="89" t="n">
        <v>1.3</v>
      </c>
      <c r="K17" s="89" t="n">
        <f aca="false">IF(UNIT_SYSTEM="SI",IF(Q17="","",Q17),IF(R17="","",R17))</f>
        <v>31.4</v>
      </c>
      <c r="L17" s="89" t="n">
        <f aca="false">IF(UNIT_SYSTEM="SI",IF(S17="","",S17),IF(T17="","",T17))</f>
        <v>0</v>
      </c>
      <c r="M17" s="90" t="n">
        <v>1.15E-008</v>
      </c>
      <c r="N17" s="90" t="n">
        <v>6.27E-010</v>
      </c>
      <c r="O17" s="90" t="n">
        <v>1.72E-005</v>
      </c>
      <c r="P17" s="90" t="n">
        <v>7.65E-007</v>
      </c>
      <c r="Q17" s="83" t="n">
        <v>31.4</v>
      </c>
      <c r="R17" s="83" t="n">
        <v>28.58</v>
      </c>
      <c r="S17" s="83" t="n">
        <v>0</v>
      </c>
      <c r="T17" s="83" t="n">
        <v>0</v>
      </c>
    </row>
    <row r="18" customFormat="false" ht="15" hidden="false" customHeight="false" outlineLevel="0" collapsed="false">
      <c r="A18" s="72" t="s">
        <v>646</v>
      </c>
      <c r="B18" s="72" t="s">
        <v>636</v>
      </c>
      <c r="C18" s="72" t="str">
        <f aca="false">IF(UNIT_SYSTEM="SI","9F.7/9F.8M","9F.7/9F.8")</f>
        <v>9F.7/9F.8M</v>
      </c>
      <c r="D18" s="72" t="s">
        <v>637</v>
      </c>
      <c r="E18" s="72" t="s">
        <v>647</v>
      </c>
      <c r="F18" s="72" t="s">
        <v>645</v>
      </c>
      <c r="G18" s="74" t="n">
        <f aca="false">IF(UNIT_SYSTEM="SI",IF(M18="","",M18),IF(N18="","",N18))</f>
        <v>4.05E-009</v>
      </c>
      <c r="H18" s="75" t="n">
        <v>3.42</v>
      </c>
      <c r="I18" s="74" t="n">
        <f aca="false">IF(UNIT_SYSTEM="SI",IF(O18="","",O18),IF(P18="","",P18))</f>
        <v>1.13E-005</v>
      </c>
      <c r="J18" s="75" t="n">
        <v>1.3</v>
      </c>
      <c r="K18" s="75" t="n">
        <f aca="false">IF(UNIT_SYSTEM="SI",IF(Q18="","",Q18),IF(R18="","",R18))</f>
        <v>42.25</v>
      </c>
      <c r="L18" s="75" t="n">
        <f aca="false">IF(UNIT_SYSTEM="SI",IF(S18="","",S18),IF(T18="","",T18))</f>
        <v>0</v>
      </c>
      <c r="M18" s="79" t="n">
        <v>4.05E-009</v>
      </c>
      <c r="N18" s="79" t="n">
        <v>2.2E-010</v>
      </c>
      <c r="O18" s="79" t="n">
        <v>1.13E-005</v>
      </c>
      <c r="P18" s="79" t="n">
        <v>5.04E-007</v>
      </c>
      <c r="Q18" s="77" t="n">
        <v>42.25</v>
      </c>
      <c r="R18" s="77" t="n">
        <v>38.45</v>
      </c>
      <c r="S18" s="77" t="n">
        <v>0</v>
      </c>
      <c r="T18" s="77" t="n">
        <v>0</v>
      </c>
    </row>
    <row r="19" customFormat="false" ht="15" hidden="false" customHeight="false" outlineLevel="0" collapsed="false">
      <c r="A19" s="80" t="s">
        <v>643</v>
      </c>
      <c r="B19" s="80" t="s">
        <v>642</v>
      </c>
      <c r="C19" s="80" t="str">
        <f aca="false">IF(UNIT_SYSTEM="SI","9F.7/9F.8M","9F.7/9F.8")</f>
        <v>9F.7/9F.8M</v>
      </c>
      <c r="D19" s="80" t="s">
        <v>637</v>
      </c>
      <c r="E19" s="80" t="s">
        <v>644</v>
      </c>
      <c r="F19" s="80" t="s">
        <v>645</v>
      </c>
      <c r="G19" s="88" t="n">
        <f aca="false">IF(UNIT_SYSTEM="SI",IF(M19="","",M19),IF(N19="","",N19))</f>
        <v>2.32E-008</v>
      </c>
      <c r="H19" s="89" t="n">
        <v>3.42</v>
      </c>
      <c r="I19" s="88" t="n">
        <f aca="false">IF(UNIT_SYSTEM="SI",IF(O19="","",O19),IF(P19="","",P19))</f>
        <v>3.46E-005</v>
      </c>
      <c r="J19" s="89" t="n">
        <v>1.11</v>
      </c>
      <c r="K19" s="89" t="n">
        <f aca="false">IF(UNIT_SYSTEM="SI",IF(Q19="","",Q19),IF(R19="","",R19))</f>
        <v>23.65</v>
      </c>
      <c r="L19" s="89" t="n">
        <f aca="false">IF(UNIT_SYSTEM="SI",IF(S19="","",S19),IF(T19="","",T19))</f>
        <v>0</v>
      </c>
      <c r="M19" s="90" t="n">
        <v>2.32E-008</v>
      </c>
      <c r="N19" s="90" t="n">
        <v>1.26E-009</v>
      </c>
      <c r="O19" s="90" t="n">
        <v>3.46E-005</v>
      </c>
      <c r="P19" s="90" t="n">
        <v>1.51E-006</v>
      </c>
      <c r="Q19" s="83" t="n">
        <v>23.65</v>
      </c>
      <c r="R19" s="83" t="n">
        <v>21.53</v>
      </c>
      <c r="S19" s="83" t="n">
        <v>0</v>
      </c>
      <c r="T19" s="83" t="n">
        <v>0</v>
      </c>
    </row>
    <row r="20" customFormat="false" ht="15" hidden="false" customHeight="false" outlineLevel="0" collapsed="false">
      <c r="A20" s="72" t="s">
        <v>646</v>
      </c>
      <c r="B20" s="72" t="s">
        <v>642</v>
      </c>
      <c r="C20" s="72" t="str">
        <f aca="false">IF(UNIT_SYSTEM="SI","9F.7/9F.8M","9F.7/9F.8")</f>
        <v>9F.7/9F.8M</v>
      </c>
      <c r="D20" s="72" t="s">
        <v>637</v>
      </c>
      <c r="E20" s="72" t="s">
        <v>647</v>
      </c>
      <c r="F20" s="72" t="s">
        <v>645</v>
      </c>
      <c r="G20" s="74" t="n">
        <f aca="false">IF(UNIT_SYSTEM="SI",IF(M20="","",M20),IF(N20="","",N20))</f>
        <v>7.24E-009</v>
      </c>
      <c r="H20" s="75" t="n">
        <v>3.42</v>
      </c>
      <c r="I20" s="74" t="n">
        <f aca="false">IF(UNIT_SYSTEM="SI",IF(O20="","",O20),IF(P20="","",P20))</f>
        <v>2.62E-005</v>
      </c>
      <c r="J20" s="75" t="n">
        <v>1.11</v>
      </c>
      <c r="K20" s="75" t="n">
        <f aca="false">IF(UNIT_SYSTEM="SI",IF(Q20="","",Q20),IF(R20="","",R20))</f>
        <v>34.72</v>
      </c>
      <c r="L20" s="75" t="n">
        <f aca="false">IF(UNIT_SYSTEM="SI",IF(S20="","",S20),IF(T20="","",T20))</f>
        <v>0</v>
      </c>
      <c r="M20" s="79" t="n">
        <v>7.24E-009</v>
      </c>
      <c r="N20" s="79" t="n">
        <v>3.94E-010</v>
      </c>
      <c r="O20" s="79" t="n">
        <v>2.62E-005</v>
      </c>
      <c r="P20" s="79" t="n">
        <v>1.15E-006</v>
      </c>
      <c r="Q20" s="77" t="n">
        <v>34.72</v>
      </c>
      <c r="R20" s="77" t="n">
        <v>31.6</v>
      </c>
      <c r="S20" s="77" t="n">
        <v>0</v>
      </c>
      <c r="T20" s="77" t="n">
        <v>0</v>
      </c>
    </row>
    <row r="21" customFormat="false" ht="15" hidden="false" customHeight="false" outlineLevel="0" collapsed="false">
      <c r="A21" s="80" t="s">
        <v>648</v>
      </c>
      <c r="B21" s="80" t="s">
        <v>636</v>
      </c>
      <c r="C21" s="80" t="str">
        <f aca="false">IF(UNIT_SYSTEM="SI","9F.7/9F.8M","9F.7/9F.8")</f>
        <v>9F.7/9F.8M</v>
      </c>
      <c r="D21" s="80" t="s">
        <v>637</v>
      </c>
      <c r="E21" s="80" t="s">
        <v>649</v>
      </c>
      <c r="F21" s="80" t="s">
        <v>645</v>
      </c>
      <c r="G21" s="88" t="n">
        <f aca="false">IF(UNIT_SYSTEM="SI",IF(M21="","",M21),IF(N21="","",N21))</f>
        <v>7.59E-014</v>
      </c>
      <c r="H21" s="89" t="n">
        <v>8.16</v>
      </c>
      <c r="I21" s="88" t="n">
        <f aca="false">IF(UNIT_SYSTEM="SI",IF(O21="","",O21),IF(P21="","",P21))</f>
        <v>1.34E-007</v>
      </c>
      <c r="J21" s="89" t="n">
        <v>2.67</v>
      </c>
      <c r="K21" s="89" t="n">
        <f aca="false">IF(UNIT_SYSTEM="SI",IF(Q21="","",Q21),IF(R21="","",R21))</f>
        <v>13.72</v>
      </c>
      <c r="L21" s="89" t="n">
        <f aca="false">IF(UNIT_SYSTEM="SI",IF(S21="","",S21),IF(T21="","",T21))</f>
        <v>2</v>
      </c>
      <c r="M21" s="90" t="n">
        <v>7.59E-014</v>
      </c>
      <c r="N21" s="90" t="n">
        <v>6.45E-015</v>
      </c>
      <c r="O21" s="90" t="n">
        <v>1.34E-007</v>
      </c>
      <c r="P21" s="90" t="n">
        <v>6.76E-009</v>
      </c>
      <c r="Q21" s="83" t="n">
        <v>13.72</v>
      </c>
      <c r="R21" s="83" t="n">
        <v>12.49</v>
      </c>
      <c r="S21" s="83" t="n">
        <v>2</v>
      </c>
      <c r="T21" s="83" t="n">
        <v>1.8</v>
      </c>
    </row>
    <row r="22" customFormat="false" ht="15" hidden="false" customHeight="false" outlineLevel="0" collapsed="false">
      <c r="A22" s="72" t="s">
        <v>650</v>
      </c>
      <c r="B22" s="72" t="s">
        <v>636</v>
      </c>
      <c r="C22" s="72" t="str">
        <f aca="false">IF(UNIT_SYSTEM="SI","9F.7/9F.8M","9F.7/9F.8")</f>
        <v>9F.7/9F.8M</v>
      </c>
      <c r="D22" s="72" t="s">
        <v>637</v>
      </c>
      <c r="E22" s="72" t="s">
        <v>651</v>
      </c>
      <c r="F22" s="72" t="s">
        <v>645</v>
      </c>
      <c r="G22" s="74" t="n">
        <f aca="false">IF(UNIT_SYSTEM="SI",IF(M22="","",M22),IF(N22="","",N22))</f>
        <v>2.1E-014</v>
      </c>
      <c r="H22" s="75" t="n">
        <v>8.16</v>
      </c>
      <c r="I22" s="74" t="n">
        <f aca="false">IF(UNIT_SYSTEM="SI",IF(O22="","",O22),IF(P22="","",P22))</f>
        <v>5.22E-008</v>
      </c>
      <c r="J22" s="75" t="n">
        <v>2.67</v>
      </c>
      <c r="K22" s="75" t="n">
        <f aca="false">IF(UNIT_SYSTEM="SI",IF(Q22="","",Q22),IF(R22="","",R22))</f>
        <v>14.61</v>
      </c>
      <c r="L22" s="75" t="n">
        <f aca="false">IF(UNIT_SYSTEM="SI",IF(S22="","",S22),IF(T22="","",T22))</f>
        <v>2</v>
      </c>
      <c r="M22" s="79" t="n">
        <v>2.1E-014</v>
      </c>
      <c r="N22" s="79" t="n">
        <v>1.79E-015</v>
      </c>
      <c r="O22" s="79" t="n">
        <v>5.22E-008</v>
      </c>
      <c r="P22" s="79" t="n">
        <v>2.64E-009</v>
      </c>
      <c r="Q22" s="77" t="n">
        <v>14.61</v>
      </c>
      <c r="R22" s="77" t="n">
        <v>13.3</v>
      </c>
      <c r="S22" s="77" t="n">
        <v>2</v>
      </c>
      <c r="T22" s="77" t="n">
        <v>1.8</v>
      </c>
    </row>
    <row r="23" customFormat="false" ht="15" hidden="false" customHeight="false" outlineLevel="0" collapsed="false">
      <c r="A23" s="80" t="s">
        <v>648</v>
      </c>
      <c r="B23" s="80" t="s">
        <v>642</v>
      </c>
      <c r="C23" s="80" t="str">
        <f aca="false">IF(UNIT_SYSTEM="SI","9F.7/9F.8M","9F.7/9F.8")</f>
        <v>9F.7/9F.8M</v>
      </c>
      <c r="D23" s="80" t="s">
        <v>637</v>
      </c>
      <c r="E23" s="80" t="s">
        <v>649</v>
      </c>
      <c r="F23" s="80" t="s">
        <v>645</v>
      </c>
      <c r="G23" s="88" t="n">
        <f aca="false">IF(UNIT_SYSTEM="SI",IF(M23="","",M23),IF(N23="","",N23))</f>
        <v>9.38E-010</v>
      </c>
      <c r="H23" s="89" t="n">
        <v>5.1</v>
      </c>
      <c r="I23" s="88" t="n">
        <f aca="false">IF(UNIT_SYSTEM="SI",IF(O23="","",O23),IF(P23="","",P23))</f>
        <v>2.04E-007</v>
      </c>
      <c r="J23" s="89" t="n">
        <v>2.67</v>
      </c>
      <c r="K23" s="89" t="n">
        <f aca="false">IF(UNIT_SYSTEM="SI",IF(Q23="","",Q23),IF(R23="","",R23))</f>
        <v>9.17</v>
      </c>
      <c r="L23" s="89" t="n">
        <f aca="false">IF(UNIT_SYSTEM="SI",IF(S23="","",S23),IF(T23="","",T23))</f>
        <v>2</v>
      </c>
      <c r="M23" s="90" t="n">
        <v>9.38E-010</v>
      </c>
      <c r="N23" s="90" t="n">
        <v>5.97E-011</v>
      </c>
      <c r="O23" s="90" t="n">
        <v>2.04E-007</v>
      </c>
      <c r="P23" s="90" t="n">
        <v>1.03E-008</v>
      </c>
      <c r="Q23" s="83" t="n">
        <v>9.17</v>
      </c>
      <c r="R23" s="83" t="n">
        <v>8.35</v>
      </c>
      <c r="S23" s="83" t="n">
        <v>2</v>
      </c>
      <c r="T23" s="83" t="n">
        <v>1.8</v>
      </c>
    </row>
    <row r="24" customFormat="false" ht="15" hidden="false" customHeight="false" outlineLevel="0" collapsed="false">
      <c r="A24" s="72" t="s">
        <v>650</v>
      </c>
      <c r="B24" s="72" t="s">
        <v>642</v>
      </c>
      <c r="C24" s="72" t="str">
        <f aca="false">IF(UNIT_SYSTEM="SI","9F.7/9F.8M","9F.7/9F.8")</f>
        <v>9F.7/9F.8M</v>
      </c>
      <c r="D24" s="72" t="s">
        <v>637</v>
      </c>
      <c r="E24" s="72" t="s">
        <v>651</v>
      </c>
      <c r="F24" s="72" t="s">
        <v>645</v>
      </c>
      <c r="G24" s="74" t="n">
        <f aca="false">IF(UNIT_SYSTEM="SI",IF(M24="","",M24),IF(N24="","",N24))</f>
        <v>2.14E-010</v>
      </c>
      <c r="H24" s="75" t="n">
        <v>5.1</v>
      </c>
      <c r="I24" s="74" t="n">
        <f aca="false">IF(UNIT_SYSTEM="SI",IF(O24="","",O24),IF(P24="","",P24))</f>
        <v>6.07E-008</v>
      </c>
      <c r="J24" s="75" t="n">
        <v>2.67</v>
      </c>
      <c r="K24" s="75" t="n">
        <f aca="false">IF(UNIT_SYSTEM="SI",IF(Q24="","",Q24),IF(R24="","",R24))</f>
        <v>10.21</v>
      </c>
      <c r="L24" s="75" t="n">
        <f aca="false">IF(UNIT_SYSTEM="SI",IF(S24="","",S24),IF(T24="","",T24))</f>
        <v>2</v>
      </c>
      <c r="M24" s="79" t="n">
        <v>2.14E-010</v>
      </c>
      <c r="N24" s="79" t="n">
        <v>1.37E-011</v>
      </c>
      <c r="O24" s="79" t="n">
        <v>6.07E-008</v>
      </c>
      <c r="P24" s="79" t="n">
        <v>3.07E-009</v>
      </c>
      <c r="Q24" s="77" t="n">
        <v>10.21</v>
      </c>
      <c r="R24" s="77" t="n">
        <v>9.3</v>
      </c>
      <c r="S24" s="77" t="n">
        <v>2</v>
      </c>
      <c r="T24" s="77" t="n">
        <v>1.8</v>
      </c>
    </row>
    <row r="25" customFormat="false" ht="15" hidden="false" customHeight="false" outlineLevel="0" collapsed="false">
      <c r="A25" s="80" t="s">
        <v>652</v>
      </c>
      <c r="B25" s="80" t="s">
        <v>636</v>
      </c>
      <c r="C25" s="80" t="str">
        <f aca="false">IF(UNIT_SYSTEM="SI","9F.7/9F.8M","9F.7/9F.8")</f>
        <v>9F.7/9F.8M</v>
      </c>
      <c r="D25" s="80" t="s">
        <v>637</v>
      </c>
      <c r="E25" s="80" t="s">
        <v>653</v>
      </c>
      <c r="F25" s="80" t="s">
        <v>645</v>
      </c>
      <c r="G25" s="88" t="n">
        <f aca="false">IF(UNIT_SYSTEM="SI",IF(M25="","",M25),IF(N25="","",N25))</f>
        <v>7.59E-014</v>
      </c>
      <c r="H25" s="89" t="n">
        <v>8.16</v>
      </c>
      <c r="I25" s="88" t="n">
        <f aca="false">IF(UNIT_SYSTEM="SI",IF(O25="","",O25),IF(P25="","",P25))</f>
        <v>1.16E-005</v>
      </c>
      <c r="J25" s="89" t="n">
        <v>1.4</v>
      </c>
      <c r="K25" s="89" t="n">
        <f aca="false">IF(UNIT_SYSTEM="SI",IF(Q25="","",Q25),IF(R25="","",R25))</f>
        <v>16.25</v>
      </c>
      <c r="L25" s="89" t="n">
        <f aca="false">IF(UNIT_SYSTEM="SI",IF(S25="","",S25),IF(T25="","",T25))</f>
        <v>2</v>
      </c>
      <c r="M25" s="90" t="n">
        <v>7.59E-014</v>
      </c>
      <c r="N25" s="90" t="n">
        <v>6.45E-015</v>
      </c>
      <c r="O25" s="90" t="n">
        <v>1.16E-005</v>
      </c>
      <c r="P25" s="90" t="n">
        <v>5.23E-007</v>
      </c>
      <c r="Q25" s="83" t="n">
        <v>16.25</v>
      </c>
      <c r="R25" s="83" t="n">
        <v>14.79</v>
      </c>
      <c r="S25" s="83" t="n">
        <v>2</v>
      </c>
      <c r="T25" s="83" t="n">
        <v>1.8</v>
      </c>
    </row>
    <row r="26" customFormat="false" ht="15" hidden="false" customHeight="false" outlineLevel="0" collapsed="false">
      <c r="A26" s="72" t="s">
        <v>654</v>
      </c>
      <c r="B26" s="72" t="s">
        <v>636</v>
      </c>
      <c r="C26" s="72" t="str">
        <f aca="false">IF(UNIT_SYSTEM="SI","9F.7/9F.8M","9F.7/9F.8")</f>
        <v>9F.7/9F.8M</v>
      </c>
      <c r="D26" s="72" t="s">
        <v>637</v>
      </c>
      <c r="E26" s="72" t="s">
        <v>655</v>
      </c>
      <c r="F26" s="72" t="s">
        <v>645</v>
      </c>
      <c r="G26" s="74" t="n">
        <f aca="false">IF(UNIT_SYSTEM="SI",IF(M26="","",M26),IF(N26="","",N26))</f>
        <v>2.1E-014</v>
      </c>
      <c r="H26" s="75" t="n">
        <v>8.16</v>
      </c>
      <c r="I26" s="74" t="n">
        <f aca="false">IF(UNIT_SYSTEM="SI",IF(O26="","",O26),IF(P26="","",P26))</f>
        <v>6.94E-006</v>
      </c>
      <c r="J26" s="75" t="n">
        <v>1.4</v>
      </c>
      <c r="K26" s="75" t="n">
        <f aca="false">IF(UNIT_SYSTEM="SI",IF(Q26="","",Q26),IF(R26="","",R26))</f>
        <v>18.21</v>
      </c>
      <c r="L26" s="75" t="n">
        <f aca="false">IF(UNIT_SYSTEM="SI",IF(S26="","",S26),IF(T26="","",T26))</f>
        <v>2</v>
      </c>
      <c r="M26" s="79" t="n">
        <v>2.1E-014</v>
      </c>
      <c r="N26" s="79" t="n">
        <v>1.79E-015</v>
      </c>
      <c r="O26" s="79" t="n">
        <v>6.94E-006</v>
      </c>
      <c r="P26" s="79" t="n">
        <v>3.12E-007</v>
      </c>
      <c r="Q26" s="77" t="n">
        <v>18.21</v>
      </c>
      <c r="R26" s="77" t="n">
        <v>16.58</v>
      </c>
      <c r="S26" s="77" t="n">
        <v>2</v>
      </c>
      <c r="T26" s="77" t="n">
        <v>1.8</v>
      </c>
    </row>
    <row r="27" customFormat="false" ht="15" hidden="false" customHeight="false" outlineLevel="0" collapsed="false">
      <c r="A27" s="80" t="s">
        <v>652</v>
      </c>
      <c r="B27" s="80" t="s">
        <v>642</v>
      </c>
      <c r="C27" s="80" t="str">
        <f aca="false">IF(UNIT_SYSTEM="SI","9F.7/9F.8M","9F.7/9F.8")</f>
        <v>9F.7/9F.8M</v>
      </c>
      <c r="D27" s="80" t="s">
        <v>637</v>
      </c>
      <c r="E27" s="80" t="s">
        <v>653</v>
      </c>
      <c r="F27" s="80" t="s">
        <v>645</v>
      </c>
      <c r="G27" s="88" t="n">
        <f aca="false">IF(UNIT_SYSTEM="SI",IF(M27="","",M27),IF(N27="","",N27))</f>
        <v>9.38E-010</v>
      </c>
      <c r="H27" s="89" t="n">
        <v>5.1</v>
      </c>
      <c r="I27" s="88" t="n">
        <f aca="false">IF(UNIT_SYSTEM="SI",IF(O27="","",O27),IF(P27="","",P27))</f>
        <v>1.28E-005</v>
      </c>
      <c r="J27" s="89" t="n">
        <v>1.4</v>
      </c>
      <c r="K27" s="89" t="n">
        <f aca="false">IF(UNIT_SYSTEM="SI",IF(Q27="","",Q27),IF(R27="","",R27))</f>
        <v>13.12</v>
      </c>
      <c r="L27" s="89" t="n">
        <f aca="false">IF(UNIT_SYSTEM="SI",IF(S27="","",S27),IF(T27="","",T27))</f>
        <v>2</v>
      </c>
      <c r="M27" s="90" t="n">
        <v>9.38E-010</v>
      </c>
      <c r="N27" s="90" t="n">
        <v>5.97E-011</v>
      </c>
      <c r="O27" s="90" t="n">
        <v>1.28E-005</v>
      </c>
      <c r="P27" s="90" t="n">
        <v>5.77E-007</v>
      </c>
      <c r="Q27" s="83" t="n">
        <v>13.12</v>
      </c>
      <c r="R27" s="83" t="n">
        <v>11.94</v>
      </c>
      <c r="S27" s="83" t="n">
        <v>2</v>
      </c>
      <c r="T27" s="83" t="n">
        <v>1.8</v>
      </c>
    </row>
    <row r="28" customFormat="false" ht="15" hidden="false" customHeight="false" outlineLevel="0" collapsed="false">
      <c r="A28" s="72" t="s">
        <v>654</v>
      </c>
      <c r="B28" s="72" t="s">
        <v>642</v>
      </c>
      <c r="C28" s="72" t="str">
        <f aca="false">IF(UNIT_SYSTEM="SI","9F.7/9F.8M","9F.7/9F.8")</f>
        <v>9F.7/9F.8M</v>
      </c>
      <c r="D28" s="72" t="s">
        <v>637</v>
      </c>
      <c r="E28" s="72" t="s">
        <v>655</v>
      </c>
      <c r="F28" s="72" t="s">
        <v>645</v>
      </c>
      <c r="G28" s="74" t="n">
        <f aca="false">IF(UNIT_SYSTEM="SI",IF(M28="","",M28),IF(N28="","",N28))</f>
        <v>2.14E-010</v>
      </c>
      <c r="H28" s="75" t="n">
        <v>5.1</v>
      </c>
      <c r="I28" s="74" t="n">
        <f aca="false">IF(UNIT_SYSTEM="SI",IF(O28="","",O28),IF(P28="","",P28))</f>
        <v>6.61E-006</v>
      </c>
      <c r="J28" s="75" t="n">
        <v>1.4</v>
      </c>
      <c r="K28" s="75" t="n">
        <f aca="false">IF(UNIT_SYSTEM="SI",IF(Q28="","",Q28),IF(R28="","",R28))</f>
        <v>16.35</v>
      </c>
      <c r="L28" s="75" t="n">
        <f aca="false">IF(UNIT_SYSTEM="SI",IF(S28="","",S28),IF(T28="","",T28))</f>
        <v>2</v>
      </c>
      <c r="M28" s="79" t="n">
        <v>2.14E-010</v>
      </c>
      <c r="N28" s="79" t="n">
        <v>1.37E-011</v>
      </c>
      <c r="O28" s="79" t="n">
        <v>6.61E-006</v>
      </c>
      <c r="P28" s="79" t="n">
        <v>2.97E-007</v>
      </c>
      <c r="Q28" s="77" t="n">
        <v>16.35</v>
      </c>
      <c r="R28" s="77" t="n">
        <v>14.88</v>
      </c>
      <c r="S28" s="77" t="n">
        <v>2</v>
      </c>
      <c r="T28" s="77" t="n">
        <v>1.8</v>
      </c>
    </row>
    <row r="29" customFormat="false" ht="15" hidden="false" customHeight="false" outlineLevel="0" collapsed="false">
      <c r="A29" s="80" t="s">
        <v>656</v>
      </c>
      <c r="B29" s="80" t="s">
        <v>94</v>
      </c>
      <c r="C29" s="80" t="str">
        <f aca="false">IF(UNIT_SYSTEM="SI","9F.9M","9F.9")</f>
        <v>9F.9M</v>
      </c>
      <c r="D29" s="80" t="s">
        <v>603</v>
      </c>
      <c r="E29" s="80" t="s">
        <v>657</v>
      </c>
      <c r="F29" s="80" t="s">
        <v>658</v>
      </c>
      <c r="G29" s="88" t="n">
        <f aca="false">IF(UNIT_SYSTEM="SI",IF(M29="","",M29),IF(N29="","",N29))</f>
        <v>6.89E-009</v>
      </c>
      <c r="H29" s="89" t="n">
        <v>3</v>
      </c>
      <c r="I29" s="80" t="str">
        <f aca="false">IF(UNIT_SYSTEM="SI",IF(O29="","",O29),IF(P29="","",P29))</f>
        <v/>
      </c>
      <c r="J29" s="80"/>
      <c r="K29" s="80" t="str">
        <f aca="false">IF(UNIT_SYSTEM="SI",IF(Q29="","",Q29),IF(R29="","",R29))</f>
        <v/>
      </c>
      <c r="L29" s="89" t="n">
        <f aca="false">IF(UNIT_SYSTEM="SI",IF(S29="","",S29),IF(T29="","",T29))</f>
        <v>0</v>
      </c>
      <c r="M29" s="90" t="n">
        <v>6.89E-009</v>
      </c>
      <c r="N29" s="90" t="n">
        <v>3.6E-010</v>
      </c>
      <c r="O29" s="85"/>
      <c r="P29" s="85"/>
      <c r="Q29" s="85"/>
      <c r="R29" s="85"/>
      <c r="S29" s="83" t="n">
        <v>0</v>
      </c>
      <c r="T29" s="83" t="n">
        <v>0</v>
      </c>
    </row>
    <row r="30" customFormat="false" ht="15" hidden="false" customHeight="false" outlineLevel="0" collapsed="false">
      <c r="A30" s="72" t="s">
        <v>659</v>
      </c>
      <c r="B30" s="72" t="s">
        <v>94</v>
      </c>
      <c r="C30" s="72" t="str">
        <f aca="false">IF(UNIT_SYSTEM="SI","9F.9M","9F.9")</f>
        <v>9F.9M</v>
      </c>
      <c r="D30" s="72" t="s">
        <v>603</v>
      </c>
      <c r="E30" s="72" t="s">
        <v>660</v>
      </c>
      <c r="F30" s="72" t="s">
        <v>658</v>
      </c>
      <c r="G30" s="74" t="n">
        <f aca="false">IF(UNIT_SYSTEM="SI",IF(M30="","",M30),IF(N30="","",N30))</f>
        <v>1.01E-008</v>
      </c>
      <c r="H30" s="75" t="n">
        <v>2.82</v>
      </c>
      <c r="I30" s="72" t="str">
        <f aca="false">IF(UNIT_SYSTEM="SI",IF(O30="","",O30),IF(P30="","",P30))</f>
        <v/>
      </c>
      <c r="J30" s="72"/>
      <c r="K30" s="72" t="str">
        <f aca="false">IF(UNIT_SYSTEM="SI",IF(Q30="","",Q30),IF(R30="","",R30))</f>
        <v/>
      </c>
      <c r="L30" s="75" t="n">
        <f aca="false">IF(UNIT_SYSTEM="SI",IF(S30="","",S30),IF(T30="","",T30))</f>
        <v>0</v>
      </c>
      <c r="M30" s="79" t="n">
        <v>1.01E-008</v>
      </c>
      <c r="N30" s="79" t="n">
        <v>5.2E-010</v>
      </c>
      <c r="O30" s="86"/>
      <c r="P30" s="86"/>
      <c r="Q30" s="86"/>
      <c r="R30" s="86"/>
      <c r="S30" s="77" t="n">
        <v>0</v>
      </c>
      <c r="T30" s="77" t="n">
        <v>0</v>
      </c>
    </row>
    <row r="31" customFormat="false" ht="15" hidden="false" customHeight="false" outlineLevel="0" collapsed="false">
      <c r="A31" s="80" t="s">
        <v>661</v>
      </c>
      <c r="B31" s="80" t="s">
        <v>94</v>
      </c>
      <c r="C31" s="80" t="str">
        <f aca="false">IF(UNIT_SYSTEM="SI","9F.9M","9F.9")</f>
        <v>9F.9M</v>
      </c>
      <c r="D31" s="80" t="s">
        <v>603</v>
      </c>
      <c r="E31" s="80" t="s">
        <v>662</v>
      </c>
      <c r="F31" s="80" t="s">
        <v>658</v>
      </c>
      <c r="G31" s="88" t="n">
        <f aca="false">IF(UNIT_SYSTEM="SI",IF(M31="","",M31),IF(N31="","",N31))</f>
        <v>3.28E-012</v>
      </c>
      <c r="H31" s="89" t="n">
        <v>5.4</v>
      </c>
      <c r="I31" s="80" t="str">
        <f aca="false">IF(UNIT_SYSTEM="SI",IF(O31="","",O31),IF(P31="","",P31))</f>
        <v/>
      </c>
      <c r="J31" s="80"/>
      <c r="K31" s="80" t="str">
        <f aca="false">IF(UNIT_SYSTEM="SI",IF(Q31="","",Q31),IF(R31="","",R31))</f>
        <v/>
      </c>
      <c r="L31" s="89" t="n">
        <f aca="false">IF(UNIT_SYSTEM="SI",IF(S31="","",S31),IF(T31="","",T31))</f>
        <v>0</v>
      </c>
      <c r="M31" s="90" t="n">
        <v>3.28E-012</v>
      </c>
      <c r="N31" s="90" t="n">
        <v>2.15E-013</v>
      </c>
      <c r="O31" s="85"/>
      <c r="P31" s="85"/>
      <c r="Q31" s="85"/>
      <c r="R31" s="85"/>
      <c r="S31" s="83" t="n">
        <v>0</v>
      </c>
      <c r="T31" s="83" t="n">
        <v>0</v>
      </c>
    </row>
    <row r="32" customFormat="false" ht="15" hidden="false" customHeight="false" outlineLevel="0" collapsed="false">
      <c r="A32" s="72" t="s">
        <v>533</v>
      </c>
      <c r="B32" s="72" t="s">
        <v>94</v>
      </c>
      <c r="C32" s="72" t="str">
        <f aca="false">IF(UNIT_SYSTEM="SI","9F.9M","9F.9")</f>
        <v>9F.9M</v>
      </c>
      <c r="D32" s="72" t="s">
        <v>603</v>
      </c>
      <c r="E32" s="72" t="s">
        <v>663</v>
      </c>
      <c r="F32" s="72" t="s">
        <v>658</v>
      </c>
      <c r="G32" s="74" t="n">
        <f aca="false">IF(UNIT_SYSTEM="SI",IF(M32="","",M32),IF(N32="","",N32))</f>
        <v>7.66E-010</v>
      </c>
      <c r="H32" s="75" t="n">
        <v>3.77</v>
      </c>
      <c r="I32" s="72" t="str">
        <f aca="false">IF(UNIT_SYSTEM="SI",IF(O32="","",O32),IF(P32="","",P32))</f>
        <v/>
      </c>
      <c r="J32" s="72"/>
      <c r="K32" s="72" t="str">
        <f aca="false">IF(UNIT_SYSTEM="SI",IF(Q32="","",Q32),IF(R32="","",R32))</f>
        <v/>
      </c>
      <c r="L32" s="75" t="n">
        <f aca="false">IF(UNIT_SYSTEM="SI",IF(S32="","",S32),IF(T32="","",T32))</f>
        <v>0</v>
      </c>
      <c r="M32" s="79" t="n">
        <v>7.66E-010</v>
      </c>
      <c r="N32" s="79" t="n">
        <v>4.3E-011</v>
      </c>
      <c r="O32" s="86"/>
      <c r="P32" s="86"/>
      <c r="Q32" s="86"/>
      <c r="R32" s="86"/>
      <c r="S32" s="77" t="n">
        <v>0</v>
      </c>
      <c r="T32" s="77" t="n">
        <v>0</v>
      </c>
    </row>
    <row r="33" customFormat="false" ht="15" hidden="false" customHeight="false" outlineLevel="0" collapsed="false">
      <c r="A33" s="80" t="s">
        <v>664</v>
      </c>
      <c r="B33" s="80" t="s">
        <v>94</v>
      </c>
      <c r="C33" s="80" t="str">
        <f aca="false">IF(UNIT_SYSTEM="SI","9F.9M","9F.9")</f>
        <v>9F.9M</v>
      </c>
      <c r="D33" s="80" t="s">
        <v>603</v>
      </c>
      <c r="E33" s="80" t="s">
        <v>665</v>
      </c>
      <c r="F33" s="80" t="s">
        <v>658</v>
      </c>
      <c r="G33" s="88" t="n">
        <f aca="false">IF(UNIT_SYSTEM="SI",IF(M33="","",M33),IF(N33="","",N33))</f>
        <v>2.45E-012</v>
      </c>
      <c r="H33" s="89" t="n">
        <v>3.5</v>
      </c>
      <c r="I33" s="80" t="str">
        <f aca="false">IF(UNIT_SYSTEM="SI",IF(O33="","",O33),IF(P33="","",P33))</f>
        <v/>
      </c>
      <c r="J33" s="80"/>
      <c r="K33" s="80" t="str">
        <f aca="false">IF(UNIT_SYSTEM="SI",IF(Q33="","",Q33),IF(R33="","",R33))</f>
        <v/>
      </c>
      <c r="L33" s="89" t="n">
        <f aca="false">IF(UNIT_SYSTEM="SI",IF(S33="","",S33),IF(T33="","",T33))</f>
        <v>0</v>
      </c>
      <c r="M33" s="90" t="n">
        <v>2.45E-012</v>
      </c>
      <c r="N33" s="90" t="n">
        <v>1.34E-013</v>
      </c>
      <c r="O33" s="85"/>
      <c r="P33" s="85"/>
      <c r="Q33" s="85"/>
      <c r="R33" s="85"/>
      <c r="S33" s="83" t="n">
        <v>0</v>
      </c>
      <c r="T33" s="83" t="n">
        <v>0</v>
      </c>
    </row>
    <row r="34" customFormat="false" ht="15" hidden="false" customHeight="false" outlineLevel="0" collapsed="false">
      <c r="A34" s="72" t="s">
        <v>666</v>
      </c>
      <c r="B34" s="72" t="s">
        <v>94</v>
      </c>
      <c r="C34" s="72" t="str">
        <f aca="false">IF(UNIT_SYSTEM="SI","9F.9M","9F.9")</f>
        <v>9F.9M</v>
      </c>
      <c r="D34" s="72" t="s">
        <v>603</v>
      </c>
      <c r="E34" s="72" t="s">
        <v>667</v>
      </c>
      <c r="F34" s="72" t="s">
        <v>658</v>
      </c>
      <c r="G34" s="74" t="n">
        <f aca="false">IF(UNIT_SYSTEM="SI",IF(M34="","",M34),IF(N34="","",N34))</f>
        <v>2.08E-009</v>
      </c>
      <c r="H34" s="75" t="n">
        <v>3.31</v>
      </c>
      <c r="I34" s="72" t="str">
        <f aca="false">IF(UNIT_SYSTEM="SI",IF(O34="","",O34),IF(P34="","",P34))</f>
        <v/>
      </c>
      <c r="J34" s="72"/>
      <c r="K34" s="72" t="str">
        <f aca="false">IF(UNIT_SYSTEM="SI",IF(Q34="","",Q34),IF(R34="","",R34))</f>
        <v/>
      </c>
      <c r="L34" s="75" t="n">
        <f aca="false">IF(UNIT_SYSTEM="SI",IF(S34="","",S34),IF(T34="","",T34))</f>
        <v>0</v>
      </c>
      <c r="M34" s="79" t="n">
        <v>2.08E-009</v>
      </c>
      <c r="N34" s="79" t="n">
        <v>1.12E-010</v>
      </c>
      <c r="O34" s="86"/>
      <c r="P34" s="86"/>
      <c r="Q34" s="86"/>
      <c r="R34" s="86"/>
      <c r="S34" s="77" t="n">
        <v>0</v>
      </c>
      <c r="T34" s="77" t="n">
        <v>0</v>
      </c>
    </row>
    <row r="35" customFormat="false" ht="15" hidden="false" customHeight="false" outlineLevel="0" collapsed="false">
      <c r="A35" s="80" t="s">
        <v>668</v>
      </c>
      <c r="B35" s="80" t="s">
        <v>94</v>
      </c>
      <c r="C35" s="80" t="str">
        <f aca="false">IF(UNIT_SYSTEM="SI","9F.9M","9F.9")</f>
        <v>9F.9M</v>
      </c>
      <c r="D35" s="80" t="s">
        <v>603</v>
      </c>
      <c r="E35" s="80" t="s">
        <v>669</v>
      </c>
      <c r="F35" s="80" t="s">
        <v>658</v>
      </c>
      <c r="G35" s="88" t="n">
        <f aca="false">IF(UNIT_SYSTEM="SI",IF(M35="","",M35),IF(N35="","",N35))</f>
        <v>2.63E-010</v>
      </c>
      <c r="H35" s="89" t="n">
        <v>4.01</v>
      </c>
      <c r="I35" s="80" t="str">
        <f aca="false">IF(UNIT_SYSTEM="SI",IF(O35="","",O35),IF(P35="","",P35))</f>
        <v/>
      </c>
      <c r="J35" s="80"/>
      <c r="K35" s="80" t="str">
        <f aca="false">IF(UNIT_SYSTEM="SI",IF(Q35="","",Q35),IF(R35="","",R35))</f>
        <v/>
      </c>
      <c r="L35" s="89" t="n">
        <f aca="false">IF(UNIT_SYSTEM="SI",IF(S35="","",S35),IF(T35="","",T35))</f>
        <v>0</v>
      </c>
      <c r="M35" s="90" t="n">
        <v>2.63E-010</v>
      </c>
      <c r="N35" s="90" t="n">
        <v>1.51E-011</v>
      </c>
      <c r="O35" s="85"/>
      <c r="P35" s="85"/>
      <c r="Q35" s="85"/>
      <c r="R35" s="85"/>
      <c r="S35" s="83" t="n">
        <v>0</v>
      </c>
      <c r="T35" s="83" t="n">
        <v>0</v>
      </c>
    </row>
    <row r="36" customFormat="false" ht="15" hidden="false" customHeight="false" outlineLevel="0" collapsed="false">
      <c r="A36" s="72" t="s">
        <v>670</v>
      </c>
      <c r="B36" s="72" t="s">
        <v>94</v>
      </c>
      <c r="C36" s="72" t="str">
        <f aca="false">IF(UNIT_SYSTEM="SI","9F.9M","9F.9")</f>
        <v>9F.9M</v>
      </c>
      <c r="D36" s="72" t="s">
        <v>603</v>
      </c>
      <c r="E36" s="72" t="s">
        <v>671</v>
      </c>
      <c r="F36" s="72" t="s">
        <v>658</v>
      </c>
      <c r="G36" s="74" t="n">
        <f aca="false">IF(UNIT_SYSTEM="SI",IF(M36="","",M36),IF(N36="","",N36))</f>
        <v>4.1E-010</v>
      </c>
      <c r="H36" s="75" t="n">
        <v>3.89</v>
      </c>
      <c r="I36" s="72" t="str">
        <f aca="false">IF(UNIT_SYSTEM="SI",IF(O36="","",O36),IF(P36="","",P36))</f>
        <v/>
      </c>
      <c r="J36" s="72"/>
      <c r="K36" s="72" t="str">
        <f aca="false">IF(UNIT_SYSTEM="SI",IF(Q36="","",Q36),IF(R36="","",R36))</f>
        <v/>
      </c>
      <c r="L36" s="75" t="n">
        <f aca="false">IF(UNIT_SYSTEM="SI",IF(S36="","",S36),IF(T36="","",T36))</f>
        <v>0</v>
      </c>
      <c r="M36" s="79" t="n">
        <v>4.1E-010</v>
      </c>
      <c r="N36" s="79" t="n">
        <v>2.33E-011</v>
      </c>
      <c r="O36" s="86"/>
      <c r="P36" s="86"/>
      <c r="Q36" s="86"/>
      <c r="R36" s="86"/>
      <c r="S36" s="77" t="n">
        <v>0</v>
      </c>
      <c r="T36" s="77" t="n">
        <v>0</v>
      </c>
    </row>
    <row r="37" customFormat="false" ht="15" hidden="false" customHeight="false" outlineLevel="0" collapsed="false">
      <c r="A37" s="80" t="s">
        <v>672</v>
      </c>
      <c r="B37" s="80" t="s">
        <v>94</v>
      </c>
      <c r="C37" s="80" t="str">
        <f aca="false">IF(UNIT_SYSTEM="SI","9F.9M","9F.9")</f>
        <v>9F.9M</v>
      </c>
      <c r="D37" s="80" t="s">
        <v>603</v>
      </c>
      <c r="E37" s="80" t="s">
        <v>673</v>
      </c>
      <c r="F37" s="80" t="s">
        <v>658</v>
      </c>
      <c r="G37" s="88" t="n">
        <f aca="false">IF(UNIT_SYSTEM="SI",IF(M37="","",M37),IF(N37="","",N37))</f>
        <v>2.67E-013</v>
      </c>
      <c r="H37" s="89" t="n">
        <v>3.97</v>
      </c>
      <c r="I37" s="80" t="str">
        <f aca="false">IF(UNIT_SYSTEM="SI",IF(O37="","",O37),IF(P37="","",P37))</f>
        <v/>
      </c>
      <c r="J37" s="80"/>
      <c r="K37" s="80" t="str">
        <f aca="false">IF(UNIT_SYSTEM="SI",IF(Q37="","",Q37),IF(R37="","",R37))</f>
        <v/>
      </c>
      <c r="L37" s="89" t="n">
        <f aca="false">IF(UNIT_SYSTEM="SI",IF(S37="","",S37),IF(T37="","",T37))</f>
        <v>0</v>
      </c>
      <c r="M37" s="90" t="n">
        <v>2.67E-013</v>
      </c>
      <c r="N37" s="90" t="n">
        <v>1.53E-014</v>
      </c>
      <c r="O37" s="85"/>
      <c r="P37" s="85"/>
      <c r="Q37" s="85"/>
      <c r="R37" s="85"/>
      <c r="S37" s="83" t="n">
        <v>0</v>
      </c>
      <c r="T37" s="83" t="n">
        <v>0</v>
      </c>
    </row>
    <row r="38" customFormat="false" ht="15" hidden="false" customHeight="false" outlineLevel="0" collapsed="false">
      <c r="A38" s="72" t="s">
        <v>674</v>
      </c>
      <c r="B38" s="72" t="s">
        <v>94</v>
      </c>
      <c r="C38" s="72" t="str">
        <f aca="false">IF(UNIT_SYSTEM="SI","9F.9M","9F.9")</f>
        <v>9F.9M</v>
      </c>
      <c r="D38" s="72" t="s">
        <v>603</v>
      </c>
      <c r="E38" s="72" t="s">
        <v>675</v>
      </c>
      <c r="F38" s="72" t="s">
        <v>658</v>
      </c>
      <c r="G38" s="74" t="n">
        <f aca="false">IF(UNIT_SYSTEM="SI",IF(M38="","",M38),IF(N38="","",N38))</f>
        <v>3.69E-010</v>
      </c>
      <c r="H38" s="75" t="n">
        <v>4</v>
      </c>
      <c r="I38" s="72" t="str">
        <f aca="false">IF(UNIT_SYSTEM="SI",IF(O38="","",O38),IF(P38="","",P38))</f>
        <v/>
      </c>
      <c r="J38" s="72"/>
      <c r="K38" s="72" t="str">
        <f aca="false">IF(UNIT_SYSTEM="SI",IF(Q38="","",Q38),IF(R38="","",R38))</f>
        <v/>
      </c>
      <c r="L38" s="75" t="n">
        <f aca="false">IF(UNIT_SYSTEM="SI",IF(S38="","",S38),IF(T38="","",T38))</f>
        <v>0</v>
      </c>
      <c r="M38" s="79" t="n">
        <v>3.69E-010</v>
      </c>
      <c r="N38" s="79" t="n">
        <v>2.12E-011</v>
      </c>
      <c r="O38" s="86"/>
      <c r="P38" s="86"/>
      <c r="Q38" s="86"/>
      <c r="R38" s="86"/>
      <c r="S38" s="77" t="n">
        <v>0</v>
      </c>
      <c r="T38" s="77" t="n">
        <v>0</v>
      </c>
    </row>
    <row r="39" customFormat="false" ht="15" hidden="false" customHeight="false" outlineLevel="0" collapsed="false">
      <c r="A39" s="80" t="s">
        <v>676</v>
      </c>
      <c r="B39" s="80" t="s">
        <v>94</v>
      </c>
      <c r="C39" s="80" t="str">
        <f aca="false">IF(UNIT_SYSTEM="SI","9F.9M","9F.9")</f>
        <v>9F.9M</v>
      </c>
      <c r="D39" s="80" t="s">
        <v>603</v>
      </c>
      <c r="E39" s="80" t="s">
        <v>677</v>
      </c>
      <c r="F39" s="80" t="s">
        <v>658</v>
      </c>
      <c r="G39" s="88" t="n">
        <f aca="false">IF(UNIT_SYSTEM="SI",IF(M39="","",M39),IF(N39="","",N39))</f>
        <v>1.51E-009</v>
      </c>
      <c r="H39" s="89" t="n">
        <v>3.6</v>
      </c>
      <c r="I39" s="80" t="str">
        <f aca="false">IF(UNIT_SYSTEM="SI",IF(O39="","",O39),IF(P39="","",P39))</f>
        <v/>
      </c>
      <c r="J39" s="80"/>
      <c r="K39" s="80" t="str">
        <f aca="false">IF(UNIT_SYSTEM="SI",IF(Q39="","",Q39),IF(R39="","",R39))</f>
        <v/>
      </c>
      <c r="L39" s="89" t="n">
        <f aca="false">IF(UNIT_SYSTEM="SI",IF(S39="","",S39),IF(T39="","",T39))</f>
        <v>0</v>
      </c>
      <c r="M39" s="90" t="n">
        <v>1.51E-009</v>
      </c>
      <c r="N39" s="90" t="n">
        <v>8.33E-011</v>
      </c>
      <c r="O39" s="85"/>
      <c r="P39" s="85"/>
      <c r="Q39" s="85"/>
      <c r="R39" s="85"/>
      <c r="S39" s="83" t="n">
        <v>0</v>
      </c>
      <c r="T39" s="83" t="n">
        <v>0</v>
      </c>
    </row>
    <row r="40" customFormat="false" ht="15" hidden="false" customHeight="false" outlineLevel="0" collapsed="false">
      <c r="A40" s="72" t="s">
        <v>538</v>
      </c>
      <c r="B40" s="72" t="s">
        <v>94</v>
      </c>
      <c r="C40" s="72" t="str">
        <f aca="false">IF(UNIT_SYSTEM="SI","9F.9M","9F.9")</f>
        <v>9F.9M</v>
      </c>
      <c r="D40" s="72" t="s">
        <v>637</v>
      </c>
      <c r="E40" s="72" t="s">
        <v>678</v>
      </c>
      <c r="F40" s="72" t="s">
        <v>679</v>
      </c>
      <c r="G40" s="74" t="n">
        <f aca="false">IF(UNIT_SYSTEM="SI",IF(M40="","",M40),IF(N40="","",N40))</f>
        <v>1.24E-009</v>
      </c>
      <c r="H40" s="75" t="n">
        <v>3.5</v>
      </c>
      <c r="I40" s="74" t="n">
        <f aca="false">IF(UNIT_SYSTEM="SI",IF(O40="","",O40),IF(P40="","",P40))</f>
        <v>5.42E-008</v>
      </c>
      <c r="J40" s="75" t="n">
        <v>2.5</v>
      </c>
      <c r="K40" s="75" t="n">
        <f aca="false">IF(UNIT_SYSTEM="SI",IF(Q40="","",Q40),IF(R40="","",R40))</f>
        <v>20</v>
      </c>
      <c r="L40" s="75" t="n">
        <f aca="false">IF(UNIT_SYSTEM="SI",IF(S40="","",S40),IF(T40="","",T40))</f>
        <v>0</v>
      </c>
      <c r="M40" s="79" t="n">
        <v>1.24E-009</v>
      </c>
      <c r="N40" s="79" t="n">
        <v>6.8E-011</v>
      </c>
      <c r="O40" s="79" t="n">
        <v>5.42E-008</v>
      </c>
      <c r="P40" s="79" t="n">
        <v>2.7E-009</v>
      </c>
      <c r="Q40" s="77" t="n">
        <v>20</v>
      </c>
      <c r="R40" s="77" t="n">
        <v>18</v>
      </c>
      <c r="S40" s="77" t="n">
        <v>0</v>
      </c>
      <c r="T40" s="77" t="n">
        <v>0</v>
      </c>
    </row>
    <row r="41" customFormat="false" ht="15" hidden="false" customHeight="false" outlineLevel="0" collapsed="false">
      <c r="A41" s="80" t="s">
        <v>680</v>
      </c>
      <c r="B41" s="80" t="s">
        <v>94</v>
      </c>
      <c r="C41" s="80" t="str">
        <f aca="false">IF(UNIT_SYSTEM="SI","9F.9M","9F.9")</f>
        <v>9F.9M</v>
      </c>
      <c r="D41" s="80" t="s">
        <v>637</v>
      </c>
      <c r="E41" s="80" t="s">
        <v>681</v>
      </c>
      <c r="F41" s="80" t="s">
        <v>679</v>
      </c>
      <c r="G41" s="88" t="n">
        <f aca="false">IF(UNIT_SYSTEM="SI",IF(M41="","",M41),IF(N41="","",N41))</f>
        <v>2.26E-011</v>
      </c>
      <c r="H41" s="89" t="n">
        <v>4.8</v>
      </c>
      <c r="I41" s="88" t="n">
        <f aca="false">IF(UNIT_SYSTEM="SI",IF(O41="","",O41),IF(P41="","",P41))</f>
        <v>8.07E-007</v>
      </c>
      <c r="J41" s="89" t="n">
        <v>1.9</v>
      </c>
      <c r="K41" s="89" t="n">
        <f aca="false">IF(UNIT_SYSTEM="SI",IF(Q41="","",Q41),IF(R41="","",R41))</f>
        <v>34</v>
      </c>
      <c r="L41" s="89" t="n">
        <f aca="false">IF(UNIT_SYSTEM="SI",IF(S41="","",S41),IF(T41="","",T41))</f>
        <v>0</v>
      </c>
      <c r="M41" s="90" t="n">
        <v>2.26E-011</v>
      </c>
      <c r="N41" s="90" t="n">
        <v>1.4E-012</v>
      </c>
      <c r="O41" s="90" t="n">
        <v>8.07E-007</v>
      </c>
      <c r="P41" s="90" t="n">
        <v>3.8E-008</v>
      </c>
      <c r="Q41" s="83" t="n">
        <v>34</v>
      </c>
      <c r="R41" s="83" t="n">
        <v>31</v>
      </c>
      <c r="S41" s="83" t="n">
        <v>0</v>
      </c>
      <c r="T41" s="83" t="n">
        <v>0</v>
      </c>
    </row>
    <row r="42" customFormat="false" ht="15" hidden="false" customHeight="false" outlineLevel="0" collapsed="false">
      <c r="A42" s="72" t="s">
        <v>682</v>
      </c>
      <c r="B42" s="72" t="s">
        <v>94</v>
      </c>
      <c r="C42" s="72" t="str">
        <f aca="false">IF(UNIT_SYSTEM="SI","9F.9M","9F.9")</f>
        <v>9F.9M</v>
      </c>
      <c r="D42" s="72" t="s">
        <v>637</v>
      </c>
      <c r="E42" s="72" t="s">
        <v>683</v>
      </c>
      <c r="F42" s="72" t="s">
        <v>679</v>
      </c>
      <c r="G42" s="74" t="n">
        <f aca="false">IF(UNIT_SYSTEM="SI",IF(M42="","",M42),IF(N42="","",N42))</f>
        <v>1.01E-012</v>
      </c>
      <c r="H42" s="75" t="n">
        <v>6.4</v>
      </c>
      <c r="I42" s="74" t="n">
        <f aca="false">IF(UNIT_SYSTEM="SI",IF(O42="","",O42),IF(P42="","",P42))</f>
        <v>1.75E-007</v>
      </c>
      <c r="J42" s="75" t="n">
        <v>2.7</v>
      </c>
      <c r="K42" s="75" t="n">
        <f aca="false">IF(UNIT_SYSTEM="SI",IF(Q42="","",Q42),IF(R42="","",R42))</f>
        <v>25</v>
      </c>
      <c r="L42" s="75" t="n">
        <f aca="false">IF(UNIT_SYSTEM="SI",IF(S42="","",S42),IF(T42="","",T42))</f>
        <v>0</v>
      </c>
      <c r="M42" s="79" t="n">
        <v>1.01E-012</v>
      </c>
      <c r="N42" s="79" t="n">
        <v>7.3E-014</v>
      </c>
      <c r="O42" s="79" t="n">
        <v>1.75E-007</v>
      </c>
      <c r="P42" s="79" t="n">
        <v>8.9E-009</v>
      </c>
      <c r="Q42" s="77" t="n">
        <v>25</v>
      </c>
      <c r="R42" s="77" t="n">
        <v>23</v>
      </c>
      <c r="S42" s="77" t="n">
        <v>0</v>
      </c>
      <c r="T42" s="77" t="n">
        <v>0</v>
      </c>
    </row>
    <row r="43" customFormat="false" ht="15" hidden="false" customHeight="false" outlineLevel="0" collapsed="false">
      <c r="A43" s="80" t="s">
        <v>684</v>
      </c>
      <c r="B43" s="80" t="s">
        <v>94</v>
      </c>
      <c r="C43" s="80" t="str">
        <f aca="false">IF(UNIT_SYSTEM="SI","9F.5.3.9M","9F.5.3.9")</f>
        <v>9F.5.3.9M</v>
      </c>
      <c r="D43" s="80" t="s">
        <v>685</v>
      </c>
      <c r="E43" s="80" t="s">
        <v>686</v>
      </c>
      <c r="F43" s="80" t="s">
        <v>687</v>
      </c>
      <c r="G43" s="80" t="str">
        <f aca="false">IF(UNIT_SYSTEM="SI",IF(M43="","",M43),IF(N43="","",N43))</f>
        <v/>
      </c>
      <c r="H43" s="80"/>
      <c r="I43" s="80" t="str">
        <f aca="false">IF(UNIT_SYSTEM="SI",IF(O43="","",O43),IF(P43="","",P43))</f>
        <v/>
      </c>
      <c r="J43" s="80"/>
      <c r="K43" s="80" t="str">
        <f aca="false">IF(UNIT_SYSTEM="SI",IF(Q43="","",Q43),IF(R43="","",R43))</f>
        <v/>
      </c>
      <c r="L43" s="89" t="n">
        <f aca="false">IF(UNIT_SYSTEM="SI",IF(S43="","",S43),IF(T43="","",T43))</f>
        <v>6</v>
      </c>
      <c r="M43" s="85"/>
      <c r="N43" s="85"/>
      <c r="O43" s="85"/>
      <c r="P43" s="85"/>
      <c r="Q43" s="85"/>
      <c r="R43" s="85"/>
      <c r="S43" s="83" t="n">
        <v>6</v>
      </c>
      <c r="T43" s="85"/>
    </row>
    <row r="44" customFormat="false" ht="15" hidden="false" customHeight="false" outlineLevel="0" collapsed="false">
      <c r="A44" s="72" t="s">
        <v>688</v>
      </c>
      <c r="B44" s="72" t="s">
        <v>94</v>
      </c>
      <c r="C44" s="72" t="str">
        <f aca="false">IF(UNIT_SYSTEM="SI","9F.5.3.9M","9F.5.3.9")</f>
        <v>9F.5.3.9M</v>
      </c>
      <c r="D44" s="72" t="s">
        <v>685</v>
      </c>
      <c r="E44" s="72" t="s">
        <v>689</v>
      </c>
      <c r="F44" s="72" t="s">
        <v>690</v>
      </c>
      <c r="G44" s="74" t="n">
        <f aca="false">IF(UNIT_SYSTEM="SI",IF(M44="","",M44),IF(N44="","",N44))</f>
        <v>1.48E-011</v>
      </c>
      <c r="H44" s="75" t="n">
        <v>4.8</v>
      </c>
      <c r="I44" s="74" t="n">
        <f aca="false">IF(UNIT_SYSTEM="SI",IF(O44="","",O44),IF(P44="","",P44))</f>
        <v>4E-007</v>
      </c>
      <c r="J44" s="75" t="n">
        <v>1.9</v>
      </c>
      <c r="K44" s="72" t="str">
        <f aca="false">IF(UNIT_SYSTEM="SI",IF(Q44="","",Q44),IF(R44="","",R44))</f>
        <v/>
      </c>
      <c r="L44" s="75" t="n">
        <f aca="false">IF(UNIT_SYSTEM="SI",IF(S44="","",S44),IF(T44="","",T44))</f>
        <v>8</v>
      </c>
      <c r="M44" s="79" t="n">
        <v>1.48E-011</v>
      </c>
      <c r="N44" s="86"/>
      <c r="O44" s="79" t="n">
        <v>4E-007</v>
      </c>
      <c r="P44" s="86"/>
      <c r="Q44" s="86"/>
      <c r="R44" s="86"/>
      <c r="S44" s="77" t="n">
        <v>8</v>
      </c>
      <c r="T44" s="86"/>
    </row>
    <row r="46" customFormat="false" ht="15" hidden="false" customHeight="false" outlineLevel="0" collapsed="false">
      <c r="A46" s="87" t="s">
        <v>691</v>
      </c>
    </row>
  </sheetData>
  <autoFilter ref="A1:T4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5" min="2" style="0" width="12"/>
  </cols>
  <sheetData>
    <row r="1" customFormat="false" ht="30" hidden="false" customHeight="true" outlineLevel="0" collapsed="false">
      <c r="A1" s="70" t="s">
        <v>692</v>
      </c>
      <c r="B1" s="70" t="s">
        <v>693</v>
      </c>
      <c r="C1" s="70" t="s">
        <v>694</v>
      </c>
      <c r="D1" s="70" t="s">
        <v>695</v>
      </c>
      <c r="E1" s="70" t="s">
        <v>696</v>
      </c>
    </row>
    <row r="2" customFormat="false" ht="15" hidden="false" customHeight="false" outlineLevel="0" collapsed="false">
      <c r="A2" s="72" t="s">
        <v>150</v>
      </c>
      <c r="B2" s="72" t="s">
        <v>697</v>
      </c>
      <c r="C2" s="72" t="s">
        <v>698</v>
      </c>
      <c r="D2" s="72" t="s">
        <v>699</v>
      </c>
      <c r="E2" s="72" t="s">
        <v>700</v>
      </c>
    </row>
    <row r="3" customFormat="false" ht="15" hidden="false" customHeight="false" outlineLevel="0" collapsed="false">
      <c r="A3" s="80" t="s">
        <v>701</v>
      </c>
      <c r="B3" s="80" t="s">
        <v>702</v>
      </c>
      <c r="C3" s="80" t="s">
        <v>698</v>
      </c>
      <c r="D3" s="80" t="s">
        <v>699</v>
      </c>
      <c r="E3" s="80" t="s">
        <v>703</v>
      </c>
    </row>
    <row r="4" customFormat="false" ht="15" hidden="false" customHeight="false" outlineLevel="0" collapsed="false">
      <c r="A4" s="72" t="s">
        <v>574</v>
      </c>
      <c r="B4" s="72" t="s">
        <v>704</v>
      </c>
      <c r="C4" s="72" t="s">
        <v>705</v>
      </c>
      <c r="D4" s="72" t="s">
        <v>699</v>
      </c>
      <c r="E4" s="72" t="s">
        <v>706</v>
      </c>
    </row>
    <row r="5" customFormat="false" ht="15" hidden="false" customHeight="false" outlineLevel="0" collapsed="false">
      <c r="A5" s="80" t="s">
        <v>476</v>
      </c>
      <c r="B5" s="80" t="s">
        <v>707</v>
      </c>
      <c r="C5" s="80" t="s">
        <v>708</v>
      </c>
      <c r="D5" s="80" t="s">
        <v>699</v>
      </c>
      <c r="E5" s="80" t="s">
        <v>709</v>
      </c>
    </row>
    <row r="6" customFormat="false" ht="15" hidden="false" customHeight="false" outlineLevel="0" collapsed="false">
      <c r="A6" s="72" t="s">
        <v>546</v>
      </c>
      <c r="B6" s="72" t="s">
        <v>710</v>
      </c>
      <c r="C6" s="72" t="s">
        <v>708</v>
      </c>
      <c r="D6" s="72" t="s">
        <v>699</v>
      </c>
      <c r="E6" s="72" t="s">
        <v>711</v>
      </c>
    </row>
    <row r="7" customFormat="false" ht="15" hidden="false" customHeight="false" outlineLevel="0" collapsed="false">
      <c r="A7" s="80" t="s">
        <v>712</v>
      </c>
      <c r="B7" s="80" t="s">
        <v>713</v>
      </c>
      <c r="C7" s="80" t="s">
        <v>714</v>
      </c>
      <c r="D7" s="80" t="s">
        <v>699</v>
      </c>
      <c r="E7" s="80" t="s">
        <v>715</v>
      </c>
    </row>
    <row r="8" customFormat="false" ht="15" hidden="false" customHeight="false" outlineLevel="0" collapsed="false">
      <c r="A8" s="72" t="s">
        <v>716</v>
      </c>
      <c r="B8" s="72" t="s">
        <v>717</v>
      </c>
      <c r="C8" s="72" t="s">
        <v>708</v>
      </c>
      <c r="D8" s="72" t="s">
        <v>699</v>
      </c>
      <c r="E8" s="72" t="s">
        <v>718</v>
      </c>
    </row>
    <row r="9" customFormat="false" ht="15" hidden="false" customHeight="false" outlineLevel="0" collapsed="false">
      <c r="A9" s="80" t="s">
        <v>719</v>
      </c>
      <c r="B9" s="80" t="s">
        <v>720</v>
      </c>
      <c r="C9" s="80" t="s">
        <v>708</v>
      </c>
      <c r="D9" s="80" t="s">
        <v>699</v>
      </c>
      <c r="E9" s="80" t="s">
        <v>721</v>
      </c>
    </row>
    <row r="10" customFormat="false" ht="15" hidden="false" customHeight="false" outlineLevel="0" collapsed="false">
      <c r="A10" s="72" t="s">
        <v>722</v>
      </c>
      <c r="B10" s="72" t="s">
        <v>723</v>
      </c>
      <c r="C10" s="72" t="s">
        <v>724</v>
      </c>
      <c r="D10" s="72" t="s">
        <v>699</v>
      </c>
      <c r="E10" s="72" t="s">
        <v>725</v>
      </c>
    </row>
    <row r="11" customFormat="false" ht="15" hidden="false" customHeight="false" outlineLevel="0" collapsed="false">
      <c r="A11" s="80" t="s">
        <v>726</v>
      </c>
      <c r="B11" s="80" t="s">
        <v>727</v>
      </c>
      <c r="C11" s="80" t="s">
        <v>728</v>
      </c>
      <c r="D11" s="80" t="s">
        <v>729</v>
      </c>
      <c r="E11" s="80" t="s">
        <v>730</v>
      </c>
    </row>
    <row r="13" customFormat="false" ht="15" hidden="false" customHeight="false" outlineLevel="0" collapsed="false">
      <c r="A13" s="87" t="s">
        <v>731</v>
      </c>
    </row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X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7"/>
    <col collapsed="false" customWidth="true" hidden="true" outlineLevel="0" max="16" min="10" style="0" width="13"/>
    <col collapsed="false" customWidth="true" hidden="true" outlineLevel="0" max="24" min="18" style="0" width="13"/>
  </cols>
  <sheetData>
    <row r="1" customFormat="false" ht="21.75" hidden="false" customHeight="true" outlineLevel="0" collapsed="false">
      <c r="A1" s="91" t="str">
        <f aca="false">IF(UNIT_SYSTEM="SI","API 579 PART 9 TABLE 9.2M - REFERENCE TEMPERATURE (SI)","API 579 PART 9 TABLE 9.2 - REFERENCE TEMPERATURE (FPS)")</f>
        <v>API 579 PART 9 TABLE 9.2M - REFERENCE TEMPERATURE (SI)</v>
      </c>
      <c r="B1" s="91"/>
      <c r="C1" s="91"/>
      <c r="D1" s="91"/>
      <c r="E1" s="91"/>
      <c r="F1" s="91"/>
      <c r="G1" s="91"/>
    </row>
    <row r="3" customFormat="false" ht="15" hidden="false" customHeight="false" outlineLevel="0" collapsed="false">
      <c r="A3" s="70" t="s">
        <v>443</v>
      </c>
      <c r="B3" s="70" t="str">
        <f aca="false">IF(UNIT_SYSTEM="SI","SMYS (MPa)","SMYS (ksi)")</f>
        <v>SMYS (MPa)</v>
      </c>
      <c r="C3" s="70" t="str">
        <f aca="false">IF(UNIT_SYSTEM="SI","Curve A (°C)","Curve A (°F)")</f>
        <v>Curve A (°C)</v>
      </c>
      <c r="D3" s="70" t="str">
        <f aca="false">IF(UNIT_SYSTEM="SI","Curve B (°C)","Curve B (°F)")</f>
        <v>Curve B (°C)</v>
      </c>
      <c r="E3" s="70" t="str">
        <f aca="false">IF(UNIT_SYSTEM="SI","Curve C (°C)","Curve C (°F)")</f>
        <v>Curve C (°C)</v>
      </c>
      <c r="F3" s="70" t="str">
        <f aca="false">IF(UNIT_SYSTEM="SI","Curve D (°C)","Curve D (°F)")</f>
        <v>Curve D (°C)</v>
      </c>
      <c r="G3" s="70" t="s">
        <v>732</v>
      </c>
    </row>
    <row r="4" customFormat="false" ht="15" hidden="false" customHeight="false" outlineLevel="0" collapsed="false">
      <c r="A4" s="72" t="str">
        <f aca="false">IF(UNIT_SYSTEM="SI",IF(J4="","",J4),IF(R4="","",R4))</f>
        <v>CARBON_STEEL</v>
      </c>
      <c r="B4" s="92" t="n">
        <f aca="false">IF(UNIT_SYSTEM="SI",IF(K4="","",K4),IF(S4="","",S4))</f>
        <v>200</v>
      </c>
      <c r="C4" s="92" t="n">
        <f aca="false">IF(UNIT_SYSTEM="SI",IF(L4="","",L4),IF(T4="","",T4))</f>
        <v>32.3</v>
      </c>
      <c r="D4" s="92" t="n">
        <f aca="false">IF(UNIT_SYSTEM="SI",IF(M4="","",M4),IF(U4="","",U4))</f>
        <v>11.1</v>
      </c>
      <c r="E4" s="92" t="n">
        <f aca="false">IF(UNIT_SYSTEM="SI",IF(N4="","",N4),IF(V4="","",V4))</f>
        <v>-10</v>
      </c>
      <c r="F4" s="92" t="n">
        <f aca="false">IF(UNIT_SYSTEM="SI",IF(O4="","",O4),IF(W4="","",W4))</f>
        <v>-24.4</v>
      </c>
      <c r="G4" s="92" t="str">
        <f aca="false">IF(UNIT_SYSTEM="SI",IF(P4="","",P4),IF(X4="","",X4))</f>
        <v>20 J (15 ft-lb)</v>
      </c>
      <c r="J4" s="93" t="s">
        <v>473</v>
      </c>
      <c r="K4" s="0" t="n">
        <v>200</v>
      </c>
      <c r="L4" s="0" t="n">
        <v>32.3</v>
      </c>
      <c r="M4" s="0" t="n">
        <v>11.1</v>
      </c>
      <c r="N4" s="0" t="n">
        <v>-10</v>
      </c>
      <c r="O4" s="0" t="n">
        <v>-24.4</v>
      </c>
      <c r="P4" s="93" t="s">
        <v>733</v>
      </c>
      <c r="R4" s="93" t="s">
        <v>473</v>
      </c>
      <c r="S4" s="0" t="n">
        <v>30</v>
      </c>
      <c r="T4" s="0" t="n">
        <v>90.3</v>
      </c>
      <c r="U4" s="0" t="n">
        <v>52.3</v>
      </c>
      <c r="V4" s="0" t="n">
        <v>14.3</v>
      </c>
      <c r="W4" s="0" t="n">
        <v>-11.7</v>
      </c>
      <c r="X4" s="93" t="s">
        <v>733</v>
      </c>
    </row>
    <row r="5" customFormat="false" ht="15" hidden="false" customHeight="false" outlineLevel="0" collapsed="false">
      <c r="A5" s="80" t="str">
        <f aca="false">IF(UNIT_SYSTEM="SI",IF(J5="","",J5),IF(R5="","",R5))</f>
        <v>CARBON_STEEL</v>
      </c>
      <c r="B5" s="94" t="n">
        <f aca="false">IF(UNIT_SYSTEM="SI",IF(K5="","",K5),IF(S5="","",S5))</f>
        <v>210</v>
      </c>
      <c r="C5" s="94" t="n">
        <f aca="false">IF(UNIT_SYSTEM="SI",IF(L5="","",L5),IF(T5="","",T5))</f>
        <v>32.1</v>
      </c>
      <c r="D5" s="94" t="n">
        <f aca="false">IF(UNIT_SYSTEM="SI",IF(M5="","",M5),IF(U5="","",U5))</f>
        <v>10.9</v>
      </c>
      <c r="E5" s="94" t="n">
        <f aca="false">IF(UNIT_SYSTEM="SI",IF(N5="","",N5),IF(V5="","",V5))</f>
        <v>-10.1</v>
      </c>
      <c r="F5" s="94" t="n">
        <f aca="false">IF(UNIT_SYSTEM="SI",IF(O5="","",O5),IF(W5="","",W5))</f>
        <v>-24.6</v>
      </c>
      <c r="G5" s="94" t="str">
        <f aca="false">IF(UNIT_SYSTEM="SI",IF(P5="","",P5),IF(X5="","",X5))</f>
        <v>20 J (15 ft-lb)</v>
      </c>
      <c r="J5" s="93" t="s">
        <v>473</v>
      </c>
      <c r="K5" s="0" t="n">
        <v>210</v>
      </c>
      <c r="L5" s="0" t="n">
        <v>32.1</v>
      </c>
      <c r="M5" s="0" t="n">
        <v>10.9</v>
      </c>
      <c r="N5" s="0" t="n">
        <v>-10.1</v>
      </c>
      <c r="O5" s="0" t="n">
        <v>-24.6</v>
      </c>
      <c r="P5" s="93" t="s">
        <v>733</v>
      </c>
      <c r="R5" s="93" t="s">
        <v>473</v>
      </c>
      <c r="S5" s="0" t="n">
        <v>32</v>
      </c>
      <c r="T5" s="0" t="n">
        <v>90</v>
      </c>
      <c r="U5" s="0" t="n">
        <v>52</v>
      </c>
      <c r="V5" s="0" t="n">
        <v>14</v>
      </c>
      <c r="W5" s="0" t="n">
        <v>-12</v>
      </c>
      <c r="X5" s="93" t="s">
        <v>733</v>
      </c>
    </row>
    <row r="6" customFormat="false" ht="15" hidden="false" customHeight="false" outlineLevel="0" collapsed="false">
      <c r="A6" s="72" t="str">
        <f aca="false">IF(UNIT_SYSTEM="SI",IF(J6="","",J6),IF(R6="","",R6))</f>
        <v>CARBON_STEEL</v>
      </c>
      <c r="B6" s="92" t="n">
        <f aca="false">IF(UNIT_SYSTEM="SI",IF(K6="","",K6),IF(S6="","",S6))</f>
        <v>220</v>
      </c>
      <c r="C6" s="92" t="n">
        <f aca="false">IF(UNIT_SYSTEM="SI",IF(L6="","",L6),IF(T6="","",T6))</f>
        <v>32</v>
      </c>
      <c r="D6" s="92" t="n">
        <f aca="false">IF(UNIT_SYSTEM="SI",IF(M6="","",M6),IF(U6="","",U6))</f>
        <v>10.8</v>
      </c>
      <c r="E6" s="92" t="n">
        <f aca="false">IF(UNIT_SYSTEM="SI",IF(N6="","",N6),IF(V6="","",V6))</f>
        <v>-10.3</v>
      </c>
      <c r="F6" s="92" t="n">
        <f aca="false">IF(UNIT_SYSTEM="SI",IF(O6="","",O6),IF(W6="","",W6))</f>
        <v>-24.7</v>
      </c>
      <c r="G6" s="92" t="str">
        <f aca="false">IF(UNIT_SYSTEM="SI",IF(P6="","",P6),IF(X6="","",X6))</f>
        <v>20 J (15 ft-lb)</v>
      </c>
      <c r="J6" s="93" t="s">
        <v>473</v>
      </c>
      <c r="K6" s="0" t="n">
        <v>220</v>
      </c>
      <c r="L6" s="0" t="n">
        <v>32</v>
      </c>
      <c r="M6" s="0" t="n">
        <v>10.8</v>
      </c>
      <c r="N6" s="0" t="n">
        <v>-10.3</v>
      </c>
      <c r="O6" s="0" t="n">
        <v>-24.7</v>
      </c>
      <c r="P6" s="93" t="s">
        <v>733</v>
      </c>
      <c r="R6" s="93" t="s">
        <v>473</v>
      </c>
      <c r="S6" s="0" t="n">
        <v>34</v>
      </c>
      <c r="T6" s="0" t="n">
        <v>89.7</v>
      </c>
      <c r="U6" s="0" t="n">
        <v>51.7</v>
      </c>
      <c r="V6" s="0" t="n">
        <v>13.7</v>
      </c>
      <c r="W6" s="0" t="n">
        <v>-12.3</v>
      </c>
      <c r="X6" s="93" t="s">
        <v>733</v>
      </c>
    </row>
    <row r="7" customFormat="false" ht="15" hidden="false" customHeight="false" outlineLevel="0" collapsed="false">
      <c r="A7" s="80" t="str">
        <f aca="false">IF(UNIT_SYSTEM="SI",IF(J7="","",J7),IF(R7="","",R7))</f>
        <v>CARBON_STEEL</v>
      </c>
      <c r="B7" s="94" t="n">
        <f aca="false">IF(UNIT_SYSTEM="SI",IF(K7="","",K7),IF(S7="","",S7))</f>
        <v>230</v>
      </c>
      <c r="C7" s="94" t="n">
        <f aca="false">IF(UNIT_SYSTEM="SI",IF(L7="","",L7),IF(T7="","",T7))</f>
        <v>31.9</v>
      </c>
      <c r="D7" s="94" t="n">
        <f aca="false">IF(UNIT_SYSTEM="SI",IF(M7="","",M7),IF(U7="","",U7))</f>
        <v>10.7</v>
      </c>
      <c r="E7" s="94" t="n">
        <f aca="false">IF(UNIT_SYSTEM="SI",IF(N7="","",N7),IF(V7="","",V7))</f>
        <v>-10.4</v>
      </c>
      <c r="F7" s="94" t="n">
        <f aca="false">IF(UNIT_SYSTEM="SI",IF(O7="","",O7),IF(W7="","",W7))</f>
        <v>-24.8</v>
      </c>
      <c r="G7" s="94" t="str">
        <f aca="false">IF(UNIT_SYSTEM="SI",IF(P7="","",P7),IF(X7="","",X7))</f>
        <v>20 J (15 ft-lb)</v>
      </c>
      <c r="J7" s="93" t="s">
        <v>473</v>
      </c>
      <c r="K7" s="0" t="n">
        <v>230</v>
      </c>
      <c r="L7" s="0" t="n">
        <v>31.9</v>
      </c>
      <c r="M7" s="0" t="n">
        <v>10.7</v>
      </c>
      <c r="N7" s="0" t="n">
        <v>-10.4</v>
      </c>
      <c r="O7" s="0" t="n">
        <v>-24.8</v>
      </c>
      <c r="P7" s="93" t="s">
        <v>733</v>
      </c>
      <c r="R7" s="93" t="s">
        <v>473</v>
      </c>
      <c r="S7" s="0" t="n">
        <v>36</v>
      </c>
      <c r="T7" s="0" t="n">
        <v>89.4</v>
      </c>
      <c r="U7" s="0" t="n">
        <v>51.4</v>
      </c>
      <c r="V7" s="0" t="n">
        <v>13.4</v>
      </c>
      <c r="W7" s="0" t="n">
        <v>-12.6</v>
      </c>
      <c r="X7" s="93" t="s">
        <v>733</v>
      </c>
    </row>
    <row r="8" customFormat="false" ht="15" hidden="false" customHeight="false" outlineLevel="0" collapsed="false">
      <c r="A8" s="72" t="str">
        <f aca="false">IF(UNIT_SYSTEM="SI",IF(J8="","",J8),IF(R8="","",R8))</f>
        <v>CARBON_STEEL</v>
      </c>
      <c r="B8" s="92" t="n">
        <f aca="false">IF(UNIT_SYSTEM="SI",IF(K8="","",K8),IF(S8="","",S8))</f>
        <v>240</v>
      </c>
      <c r="C8" s="92" t="n">
        <f aca="false">IF(UNIT_SYSTEM="SI",IF(L8="","",L8),IF(T8="","",T8))</f>
        <v>31.8</v>
      </c>
      <c r="D8" s="92" t="n">
        <f aca="false">IF(UNIT_SYSTEM="SI",IF(M8="","",M8),IF(U8="","",U8))</f>
        <v>10.6</v>
      </c>
      <c r="E8" s="92" t="n">
        <f aca="false">IF(UNIT_SYSTEM="SI",IF(N8="","",N8),IF(V8="","",V8))</f>
        <v>-10.5</v>
      </c>
      <c r="F8" s="92" t="n">
        <f aca="false">IF(UNIT_SYSTEM="SI",IF(O8="","",O8),IF(W8="","",W8))</f>
        <v>-24.9</v>
      </c>
      <c r="G8" s="92" t="str">
        <f aca="false">IF(UNIT_SYSTEM="SI",IF(P8="","",P8),IF(X8="","",X8))</f>
        <v>20 J (15 ft-lb)</v>
      </c>
      <c r="J8" s="93" t="s">
        <v>473</v>
      </c>
      <c r="K8" s="0" t="n">
        <v>240</v>
      </c>
      <c r="L8" s="0" t="n">
        <v>31.8</v>
      </c>
      <c r="M8" s="0" t="n">
        <v>10.6</v>
      </c>
      <c r="N8" s="0" t="n">
        <v>-10.5</v>
      </c>
      <c r="O8" s="0" t="n">
        <v>-24.9</v>
      </c>
      <c r="P8" s="93" t="s">
        <v>733</v>
      </c>
      <c r="R8" s="93" t="s">
        <v>473</v>
      </c>
      <c r="S8" s="0" t="n">
        <v>38</v>
      </c>
      <c r="T8" s="0" t="n">
        <v>89.1</v>
      </c>
      <c r="U8" s="0" t="n">
        <v>51.1</v>
      </c>
      <c r="V8" s="0" t="n">
        <v>13.1</v>
      </c>
      <c r="W8" s="0" t="n">
        <v>-12.9</v>
      </c>
      <c r="X8" s="93" t="s">
        <v>733</v>
      </c>
    </row>
    <row r="9" customFormat="false" ht="15" hidden="false" customHeight="false" outlineLevel="0" collapsed="false">
      <c r="A9" s="80" t="str">
        <f aca="false">IF(UNIT_SYSTEM="SI",IF(J9="","",J9),IF(R9="","",R9))</f>
        <v>CARBON_STEEL</v>
      </c>
      <c r="B9" s="94" t="n">
        <f aca="false">IF(UNIT_SYSTEM="SI",IF(K9="","",K9),IF(S9="","",S9))</f>
        <v>260</v>
      </c>
      <c r="C9" s="94" t="n">
        <f aca="false">IF(UNIT_SYSTEM="SI",IF(L9="","",L9),IF(T9="","",T9))</f>
        <v>31.5</v>
      </c>
      <c r="D9" s="94" t="n">
        <f aca="false">IF(UNIT_SYSTEM="SI",IF(M9="","",M9),IF(U9="","",U9))</f>
        <v>10.3</v>
      </c>
      <c r="E9" s="94" t="n">
        <f aca="false">IF(UNIT_SYSTEM="SI",IF(N9="","",N9),IF(V9="","",V9))</f>
        <v>-10.8</v>
      </c>
      <c r="F9" s="94" t="n">
        <f aca="false">IF(UNIT_SYSTEM="SI",IF(O9="","",O9),IF(W9="","",W9))</f>
        <v>-25.2</v>
      </c>
      <c r="G9" s="94" t="str">
        <f aca="false">IF(UNIT_SYSTEM="SI",IF(P9="","",P9),IF(X9="","",X9))</f>
        <v>20 J (15 ft-lb)</v>
      </c>
      <c r="J9" s="93" t="s">
        <v>473</v>
      </c>
      <c r="K9" s="0" t="n">
        <v>260</v>
      </c>
      <c r="L9" s="0" t="n">
        <v>31.5</v>
      </c>
      <c r="M9" s="0" t="n">
        <v>10.3</v>
      </c>
      <c r="N9" s="0" t="n">
        <v>-10.8</v>
      </c>
      <c r="O9" s="0" t="n">
        <v>-25.2</v>
      </c>
      <c r="P9" s="93" t="s">
        <v>733</v>
      </c>
      <c r="R9" s="93" t="s">
        <v>473</v>
      </c>
      <c r="S9" s="0" t="n">
        <v>40</v>
      </c>
      <c r="T9" s="0" t="n">
        <v>88.7</v>
      </c>
      <c r="U9" s="0" t="n">
        <v>50.7</v>
      </c>
      <c r="V9" s="0" t="n">
        <v>12.7</v>
      </c>
      <c r="W9" s="0" t="n">
        <v>-13.3</v>
      </c>
      <c r="X9" s="93" t="s">
        <v>733</v>
      </c>
    </row>
    <row r="10" customFormat="false" ht="15" hidden="false" customHeight="false" outlineLevel="0" collapsed="false">
      <c r="A10" s="72" t="str">
        <f aca="false">IF(UNIT_SYSTEM="SI",IF(J10="","",J10),IF(R10="","",R10))</f>
        <v>CARBON_STEEL</v>
      </c>
      <c r="B10" s="92" t="n">
        <f aca="false">IF(UNIT_SYSTEM="SI",IF(K10="","",K10),IF(S10="","",S10))</f>
        <v>280</v>
      </c>
      <c r="C10" s="92" t="n">
        <f aca="false">IF(UNIT_SYSTEM="SI",IF(L10="","",L10),IF(T10="","",T10))</f>
        <v>31.3</v>
      </c>
      <c r="D10" s="92" t="n">
        <f aca="false">IF(UNIT_SYSTEM="SI",IF(M10="","",M10),IF(U10="","",U10))</f>
        <v>10.1</v>
      </c>
      <c r="E10" s="92" t="n">
        <f aca="false">IF(UNIT_SYSTEM="SI",IF(N10="","",N10),IF(V10="","",V10))</f>
        <v>-11</v>
      </c>
      <c r="F10" s="92" t="n">
        <f aca="false">IF(UNIT_SYSTEM="SI",IF(O10="","",O10),IF(W10="","",W10))</f>
        <v>-25.4</v>
      </c>
      <c r="G10" s="92" t="str">
        <f aca="false">IF(UNIT_SYSTEM="SI",IF(P10="","",P10),IF(X10="","",X10))</f>
        <v>20 J (15 ft-lb)</v>
      </c>
      <c r="J10" s="93" t="s">
        <v>473</v>
      </c>
      <c r="K10" s="0" t="n">
        <v>280</v>
      </c>
      <c r="L10" s="0" t="n">
        <v>31.3</v>
      </c>
      <c r="M10" s="0" t="n">
        <v>10.1</v>
      </c>
      <c r="N10" s="0" t="n">
        <v>-11</v>
      </c>
      <c r="O10" s="0" t="n">
        <v>-25.4</v>
      </c>
      <c r="P10" s="93" t="s">
        <v>733</v>
      </c>
      <c r="R10" s="93" t="s">
        <v>473</v>
      </c>
      <c r="S10" s="0" t="n">
        <v>42</v>
      </c>
      <c r="T10" s="0" t="n">
        <v>88.4</v>
      </c>
      <c r="U10" s="0" t="n">
        <v>50.4</v>
      </c>
      <c r="V10" s="0" t="n">
        <v>12.4</v>
      </c>
      <c r="W10" s="0" t="n">
        <v>-13.6</v>
      </c>
      <c r="X10" s="93" t="s">
        <v>733</v>
      </c>
    </row>
    <row r="11" customFormat="false" ht="15" hidden="false" customHeight="false" outlineLevel="0" collapsed="false">
      <c r="A11" s="80" t="str">
        <f aca="false">IF(UNIT_SYSTEM="SI",IF(J11="","",J11),IF(R11="","",R11))</f>
        <v>CARBON_STEEL</v>
      </c>
      <c r="B11" s="94" t="n">
        <f aca="false">IF(UNIT_SYSTEM="SI",IF(K11="","",K11),IF(S11="","",S11))</f>
        <v>300</v>
      </c>
      <c r="C11" s="94" t="n">
        <f aca="false">IF(UNIT_SYSTEM="SI",IF(L11="","",L11),IF(T11="","",T11))</f>
        <v>31</v>
      </c>
      <c r="D11" s="94" t="n">
        <f aca="false">IF(UNIT_SYSTEM="SI",IF(M11="","",M11),IF(U11="","",U11))</f>
        <v>9.8</v>
      </c>
      <c r="E11" s="94" t="n">
        <f aca="false">IF(UNIT_SYSTEM="SI",IF(N11="","",N11),IF(V11="","",V11))</f>
        <v>-11.3</v>
      </c>
      <c r="F11" s="94" t="n">
        <f aca="false">IF(UNIT_SYSTEM="SI",IF(O11="","",O11),IF(W11="","",W11))</f>
        <v>-25.7</v>
      </c>
      <c r="G11" s="94" t="str">
        <f aca="false">IF(UNIT_SYSTEM="SI",IF(P11="","",P11),IF(X11="","",X11))</f>
        <v>20 J (15 ft-lb)</v>
      </c>
      <c r="J11" s="93" t="s">
        <v>473</v>
      </c>
      <c r="K11" s="0" t="n">
        <v>300</v>
      </c>
      <c r="L11" s="0" t="n">
        <v>31</v>
      </c>
      <c r="M11" s="0" t="n">
        <v>9.8</v>
      </c>
      <c r="N11" s="0" t="n">
        <v>-11.3</v>
      </c>
      <c r="O11" s="0" t="n">
        <v>-25.7</v>
      </c>
      <c r="P11" s="93" t="s">
        <v>733</v>
      </c>
      <c r="R11" s="93" t="s">
        <v>473</v>
      </c>
      <c r="S11" s="0" t="n">
        <v>44</v>
      </c>
      <c r="T11" s="0" t="n">
        <v>88.1</v>
      </c>
      <c r="U11" s="0" t="n">
        <v>50.1</v>
      </c>
      <c r="V11" s="0" t="n">
        <v>12.1</v>
      </c>
      <c r="W11" s="0" t="n">
        <v>-13.9</v>
      </c>
      <c r="X11" s="93" t="s">
        <v>733</v>
      </c>
    </row>
    <row r="12" customFormat="false" ht="15" hidden="false" customHeight="false" outlineLevel="0" collapsed="false">
      <c r="A12" s="72" t="str">
        <f aca="false">IF(UNIT_SYSTEM="SI",IF(J12="","",J12),IF(R12="","",R12))</f>
        <v>CARBON_STEEL</v>
      </c>
      <c r="B12" s="92" t="n">
        <f aca="false">IF(UNIT_SYSTEM="SI",IF(K12="","",K12),IF(S12="","",S12))</f>
        <v>320</v>
      </c>
      <c r="C12" s="92" t="n">
        <f aca="false">IF(UNIT_SYSTEM="SI",IF(L12="","",L12),IF(T12="","",T12))</f>
        <v>30.7</v>
      </c>
      <c r="D12" s="92" t="n">
        <f aca="false">IF(UNIT_SYSTEM="SI",IF(M12="","",M12),IF(U12="","",U12))</f>
        <v>9.5</v>
      </c>
      <c r="E12" s="92" t="n">
        <f aca="false">IF(UNIT_SYSTEM="SI",IF(N12="","",N12),IF(V12="","",V12))</f>
        <v>-11.5</v>
      </c>
      <c r="F12" s="92" t="n">
        <f aca="false">IF(UNIT_SYSTEM="SI",IF(O12="","",O12),IF(W12="","",W12))</f>
        <v>-26</v>
      </c>
      <c r="G12" s="92" t="str">
        <f aca="false">IF(UNIT_SYSTEM="SI",IF(P12="","",P12),IF(X12="","",X12))</f>
        <v>20 J (15 ft-lb)</v>
      </c>
      <c r="J12" s="93" t="s">
        <v>473</v>
      </c>
      <c r="K12" s="0" t="n">
        <v>320</v>
      </c>
      <c r="L12" s="0" t="n">
        <v>30.7</v>
      </c>
      <c r="M12" s="0" t="n">
        <v>9.5</v>
      </c>
      <c r="N12" s="0" t="n">
        <v>-11.5</v>
      </c>
      <c r="O12" s="0" t="n">
        <v>-26</v>
      </c>
      <c r="P12" s="93" t="s">
        <v>733</v>
      </c>
      <c r="R12" s="93" t="s">
        <v>473</v>
      </c>
      <c r="S12" s="0" t="n">
        <v>46</v>
      </c>
      <c r="T12" s="0" t="n">
        <v>87.8</v>
      </c>
      <c r="U12" s="0" t="n">
        <v>49.8</v>
      </c>
      <c r="V12" s="0" t="n">
        <v>11.8</v>
      </c>
      <c r="W12" s="0" t="n">
        <v>-14.2</v>
      </c>
      <c r="X12" s="93" t="s">
        <v>733</v>
      </c>
    </row>
    <row r="13" customFormat="false" ht="15" hidden="false" customHeight="false" outlineLevel="0" collapsed="false">
      <c r="A13" s="80" t="str">
        <f aca="false">IF(UNIT_SYSTEM="SI",IF(J13="","",J13),IF(R13="","",R13))</f>
        <v>CARBON_STEEL</v>
      </c>
      <c r="B13" s="94" t="n">
        <f aca="false">IF(UNIT_SYSTEM="SI",IF(K13="","",K13),IF(S13="","",S13))</f>
        <v>340</v>
      </c>
      <c r="C13" s="94" t="n">
        <f aca="false">IF(UNIT_SYSTEM="SI",IF(L13="","",L13),IF(T13="","",T13))</f>
        <v>30.5</v>
      </c>
      <c r="D13" s="94" t="n">
        <f aca="false">IF(UNIT_SYSTEM="SI",IF(M13="","",M13),IF(U13="","",U13))</f>
        <v>9.3</v>
      </c>
      <c r="E13" s="94" t="n">
        <f aca="false">IF(UNIT_SYSTEM="SI",IF(N13="","",N13),IF(V13="","",V13))</f>
        <v>-11.8</v>
      </c>
      <c r="F13" s="94" t="n">
        <f aca="false">IF(UNIT_SYSTEM="SI",IF(O13="","",O13),IF(W13="","",W13))</f>
        <v>-26.2</v>
      </c>
      <c r="G13" s="94" t="str">
        <f aca="false">IF(UNIT_SYSTEM="SI",IF(P13="","",P13),IF(X13="","",X13))</f>
        <v>20 J (15 ft-lb)</v>
      </c>
      <c r="J13" s="93" t="s">
        <v>473</v>
      </c>
      <c r="K13" s="0" t="n">
        <v>340</v>
      </c>
      <c r="L13" s="0" t="n">
        <v>30.5</v>
      </c>
      <c r="M13" s="0" t="n">
        <v>9.3</v>
      </c>
      <c r="N13" s="0" t="n">
        <v>-11.8</v>
      </c>
      <c r="O13" s="0" t="n">
        <v>-26.2</v>
      </c>
      <c r="P13" s="93" t="s">
        <v>733</v>
      </c>
      <c r="R13" s="93" t="s">
        <v>473</v>
      </c>
      <c r="S13" s="0" t="n">
        <v>48</v>
      </c>
      <c r="T13" s="0" t="n">
        <v>87.5</v>
      </c>
      <c r="U13" s="0" t="n">
        <v>49.5</v>
      </c>
      <c r="V13" s="0" t="n">
        <v>11.5</v>
      </c>
      <c r="W13" s="0" t="n">
        <v>-14.5</v>
      </c>
      <c r="X13" s="93" t="s">
        <v>733</v>
      </c>
    </row>
    <row r="14" customFormat="false" ht="15" hidden="false" customHeight="false" outlineLevel="0" collapsed="false">
      <c r="A14" s="72" t="str">
        <f aca="false">IF(UNIT_SYSTEM="SI",IF(J14="","",J14),IF(R14="","",R14))</f>
        <v>CARBON_STEEL</v>
      </c>
      <c r="B14" s="92" t="n">
        <f aca="false">IF(UNIT_SYSTEM="SI",IF(K14="","",K14),IF(S14="","",S14))</f>
        <v>360</v>
      </c>
      <c r="C14" s="92" t="n">
        <f aca="false">IF(UNIT_SYSTEM="SI",IF(L14="","",L14),IF(T14="","",T14))</f>
        <v>30.2</v>
      </c>
      <c r="D14" s="92" t="n">
        <f aca="false">IF(UNIT_SYSTEM="SI",IF(M14="","",M14),IF(U14="","",U14))</f>
        <v>9</v>
      </c>
      <c r="E14" s="92" t="n">
        <f aca="false">IF(UNIT_SYSTEM="SI",IF(N14="","",N14),IF(V14="","",V14))</f>
        <v>-12.1</v>
      </c>
      <c r="F14" s="92" t="n">
        <f aca="false">IF(UNIT_SYSTEM="SI",IF(O14="","",O14),IF(W14="","",W14))</f>
        <v>-26.5</v>
      </c>
      <c r="G14" s="92" t="str">
        <f aca="false">IF(UNIT_SYSTEM="SI",IF(P14="","",P14),IF(X14="","",X14))</f>
        <v>20 J (15 ft-lb)</v>
      </c>
      <c r="J14" s="93" t="s">
        <v>473</v>
      </c>
      <c r="K14" s="0" t="n">
        <v>360</v>
      </c>
      <c r="L14" s="0" t="n">
        <v>30.2</v>
      </c>
      <c r="M14" s="0" t="n">
        <v>9</v>
      </c>
      <c r="N14" s="0" t="n">
        <v>-12.1</v>
      </c>
      <c r="O14" s="0" t="n">
        <v>-26.5</v>
      </c>
      <c r="P14" s="93" t="s">
        <v>733</v>
      </c>
      <c r="R14" s="93" t="s">
        <v>473</v>
      </c>
      <c r="S14" s="0" t="n">
        <v>50</v>
      </c>
      <c r="T14" s="0" t="n">
        <v>87.1</v>
      </c>
      <c r="U14" s="0" t="n">
        <v>49.1</v>
      </c>
      <c r="V14" s="0" t="n">
        <v>11.1</v>
      </c>
      <c r="W14" s="0" t="n">
        <v>-14.9</v>
      </c>
      <c r="X14" s="93" t="s">
        <v>733</v>
      </c>
    </row>
    <row r="15" customFormat="false" ht="15" hidden="false" customHeight="false" outlineLevel="0" collapsed="false">
      <c r="A15" s="80" t="str">
        <f aca="false">IF(UNIT_SYSTEM="SI",IF(J15="","",J15),IF(R15="","",R15))</f>
        <v>LOW_ALLOY_STEEL</v>
      </c>
      <c r="B15" s="94" t="n">
        <f aca="false">IF(UNIT_SYSTEM="SI",IF(K15="","",K15),IF(S15="","",S15))</f>
        <v>200</v>
      </c>
      <c r="C15" s="94" t="n">
        <f aca="false">IF(UNIT_SYSTEM="SI",IF(L15="","",L15),IF(T15="","",T15))</f>
        <v>36</v>
      </c>
      <c r="D15" s="94" t="n">
        <f aca="false">IF(UNIT_SYSTEM="SI",IF(M15="","",M15),IF(U15="","",U15))</f>
        <v>14.8</v>
      </c>
      <c r="E15" s="94" t="n">
        <f aca="false">IF(UNIT_SYSTEM="SI",IF(N15="","",N15),IF(V15="","",V15))</f>
        <v>-6.3</v>
      </c>
      <c r="F15" s="94" t="n">
        <f aca="false">IF(UNIT_SYSTEM="SI",IF(O15="","",O15),IF(W15="","",W15))</f>
        <v>-20.7</v>
      </c>
      <c r="G15" s="94" t="str">
        <f aca="false">IF(UNIT_SYSTEM="SI",IF(P15="","",P15),IF(X15="","",X15))</f>
        <v>27 J (20 ft-lb)</v>
      </c>
      <c r="J15" s="93" t="s">
        <v>545</v>
      </c>
      <c r="K15" s="0" t="n">
        <v>200</v>
      </c>
      <c r="L15" s="0" t="n">
        <v>36</v>
      </c>
      <c r="M15" s="0" t="n">
        <v>14.8</v>
      </c>
      <c r="N15" s="0" t="n">
        <v>-6.3</v>
      </c>
      <c r="O15" s="0" t="n">
        <v>-20.7</v>
      </c>
      <c r="P15" s="93" t="s">
        <v>734</v>
      </c>
      <c r="R15" s="93" t="s">
        <v>545</v>
      </c>
      <c r="S15" s="0" t="n">
        <v>30</v>
      </c>
      <c r="T15" s="0" t="n">
        <v>96.8</v>
      </c>
      <c r="U15" s="0" t="n">
        <v>58.8</v>
      </c>
      <c r="V15" s="0" t="n">
        <v>20.8</v>
      </c>
      <c r="W15" s="0" t="n">
        <v>-5.2</v>
      </c>
      <c r="X15" s="93" t="s">
        <v>734</v>
      </c>
    </row>
    <row r="16" customFormat="false" ht="15" hidden="false" customHeight="false" outlineLevel="0" collapsed="false">
      <c r="A16" s="72" t="str">
        <f aca="false">IF(UNIT_SYSTEM="SI",IF(J16="","",J16),IF(R16="","",R16))</f>
        <v>LOW_ALLOY_STEEL</v>
      </c>
      <c r="B16" s="92" t="n">
        <f aca="false">IF(UNIT_SYSTEM="SI",IF(K16="","",K16),IF(S16="","",S16))</f>
        <v>210</v>
      </c>
      <c r="C16" s="92" t="n">
        <f aca="false">IF(UNIT_SYSTEM="SI",IF(L16="","",L16),IF(T16="","",T16))</f>
        <v>35.9</v>
      </c>
      <c r="D16" s="92" t="n">
        <f aca="false">IF(UNIT_SYSTEM="SI",IF(M16="","",M16),IF(U16="","",U16))</f>
        <v>14.7</v>
      </c>
      <c r="E16" s="92" t="n">
        <f aca="false">IF(UNIT_SYSTEM="SI",IF(N16="","",N16),IF(V16="","",V16))</f>
        <v>-6.3</v>
      </c>
      <c r="F16" s="92" t="n">
        <f aca="false">IF(UNIT_SYSTEM="SI",IF(O16="","",O16),IF(W16="","",W16))</f>
        <v>-20.8</v>
      </c>
      <c r="G16" s="92" t="str">
        <f aca="false">IF(UNIT_SYSTEM="SI",IF(P16="","",P16),IF(X16="","",X16))</f>
        <v>27 J (20 ft-lb)</v>
      </c>
      <c r="J16" s="93" t="s">
        <v>545</v>
      </c>
      <c r="K16" s="0" t="n">
        <v>210</v>
      </c>
      <c r="L16" s="0" t="n">
        <v>35.9</v>
      </c>
      <c r="M16" s="0" t="n">
        <v>14.7</v>
      </c>
      <c r="N16" s="0" t="n">
        <v>-6.3</v>
      </c>
      <c r="O16" s="0" t="n">
        <v>-20.8</v>
      </c>
      <c r="P16" s="93" t="s">
        <v>734</v>
      </c>
      <c r="R16" s="93" t="s">
        <v>545</v>
      </c>
      <c r="S16" s="0" t="n">
        <v>32</v>
      </c>
      <c r="T16" s="0" t="n">
        <v>96.6</v>
      </c>
      <c r="U16" s="0" t="n">
        <v>58.6</v>
      </c>
      <c r="V16" s="0" t="n">
        <v>20.6</v>
      </c>
      <c r="W16" s="0" t="n">
        <v>-5.4</v>
      </c>
      <c r="X16" s="93" t="s">
        <v>734</v>
      </c>
    </row>
    <row r="17" customFormat="false" ht="15" hidden="false" customHeight="false" outlineLevel="0" collapsed="false">
      <c r="A17" s="80" t="str">
        <f aca="false">IF(UNIT_SYSTEM="SI",IF(J17="","",J17),IF(R17="","",R17))</f>
        <v>LOW_ALLOY_STEEL</v>
      </c>
      <c r="B17" s="94" t="n">
        <f aca="false">IF(UNIT_SYSTEM="SI",IF(K17="","",K17),IF(S17="","",S17))</f>
        <v>220</v>
      </c>
      <c r="C17" s="94" t="n">
        <f aca="false">IF(UNIT_SYSTEM="SI",IF(L17="","",L17),IF(T17="","",T17))</f>
        <v>35.8</v>
      </c>
      <c r="D17" s="94" t="n">
        <f aca="false">IF(UNIT_SYSTEM="SI",IF(M17="","",M17),IF(U17="","",U17))</f>
        <v>14.6</v>
      </c>
      <c r="E17" s="94" t="n">
        <f aca="false">IF(UNIT_SYSTEM="SI",IF(N17="","",N17),IF(V17="","",V17))</f>
        <v>-6.4</v>
      </c>
      <c r="F17" s="94" t="n">
        <f aca="false">IF(UNIT_SYSTEM="SI",IF(O17="","",O17),IF(W17="","",W17))</f>
        <v>-20.9</v>
      </c>
      <c r="G17" s="94" t="str">
        <f aca="false">IF(UNIT_SYSTEM="SI",IF(P17="","",P17),IF(X17="","",X17))</f>
        <v>27 J (20 ft-lb)</v>
      </c>
      <c r="J17" s="93" t="s">
        <v>545</v>
      </c>
      <c r="K17" s="0" t="n">
        <v>220</v>
      </c>
      <c r="L17" s="0" t="n">
        <v>35.8</v>
      </c>
      <c r="M17" s="0" t="n">
        <v>14.6</v>
      </c>
      <c r="N17" s="0" t="n">
        <v>-6.4</v>
      </c>
      <c r="O17" s="0" t="n">
        <v>-20.9</v>
      </c>
      <c r="P17" s="93" t="s">
        <v>734</v>
      </c>
      <c r="R17" s="93" t="s">
        <v>545</v>
      </c>
      <c r="S17" s="0" t="n">
        <v>34</v>
      </c>
      <c r="T17" s="0" t="n">
        <v>96.4</v>
      </c>
      <c r="U17" s="0" t="n">
        <v>58.4</v>
      </c>
      <c r="V17" s="0" t="n">
        <v>20.4</v>
      </c>
      <c r="W17" s="0" t="n">
        <v>-5.6</v>
      </c>
      <c r="X17" s="93" t="s">
        <v>734</v>
      </c>
    </row>
    <row r="18" customFormat="false" ht="15" hidden="false" customHeight="false" outlineLevel="0" collapsed="false">
      <c r="A18" s="72" t="str">
        <f aca="false">IF(UNIT_SYSTEM="SI",IF(J18="","",J18),IF(R18="","",R18))</f>
        <v>LOW_ALLOY_STEEL</v>
      </c>
      <c r="B18" s="92" t="n">
        <f aca="false">IF(UNIT_SYSTEM="SI",IF(K18="","",K18),IF(S18="","",S18))</f>
        <v>230</v>
      </c>
      <c r="C18" s="92" t="n">
        <f aca="false">IF(UNIT_SYSTEM="SI",IF(L18="","",L18),IF(T18="","",T18))</f>
        <v>35.7</v>
      </c>
      <c r="D18" s="92" t="n">
        <f aca="false">IF(UNIT_SYSTEM="SI",IF(M18="","",M18),IF(U18="","",U18))</f>
        <v>14.5</v>
      </c>
      <c r="E18" s="92" t="n">
        <f aca="false">IF(UNIT_SYSTEM="SI",IF(N18="","",N18),IF(V18="","",V18))</f>
        <v>-6.5</v>
      </c>
      <c r="F18" s="92" t="n">
        <f aca="false">IF(UNIT_SYSTEM="SI",IF(O18="","",O18),IF(W18="","",W18))</f>
        <v>-21</v>
      </c>
      <c r="G18" s="92" t="str">
        <f aca="false">IF(UNIT_SYSTEM="SI",IF(P18="","",P18),IF(X18="","",X18))</f>
        <v>27 J (20 ft-lb)</v>
      </c>
      <c r="J18" s="93" t="s">
        <v>545</v>
      </c>
      <c r="K18" s="0" t="n">
        <v>230</v>
      </c>
      <c r="L18" s="0" t="n">
        <v>35.7</v>
      </c>
      <c r="M18" s="0" t="n">
        <v>14.5</v>
      </c>
      <c r="N18" s="0" t="n">
        <v>-6.5</v>
      </c>
      <c r="O18" s="0" t="n">
        <v>-21</v>
      </c>
      <c r="P18" s="93" t="s">
        <v>734</v>
      </c>
      <c r="R18" s="93" t="s">
        <v>545</v>
      </c>
      <c r="S18" s="0" t="n">
        <v>36</v>
      </c>
      <c r="T18" s="0" t="n">
        <v>96.1</v>
      </c>
      <c r="U18" s="0" t="n">
        <v>58.1</v>
      </c>
      <c r="V18" s="0" t="n">
        <v>20.1</v>
      </c>
      <c r="W18" s="0" t="n">
        <v>-5.9</v>
      </c>
      <c r="X18" s="93" t="s">
        <v>734</v>
      </c>
    </row>
    <row r="19" customFormat="false" ht="15" hidden="false" customHeight="false" outlineLevel="0" collapsed="false">
      <c r="A19" s="80" t="str">
        <f aca="false">IF(UNIT_SYSTEM="SI",IF(J19="","",J19),IF(R19="","",R19))</f>
        <v>LOW_ALLOY_STEEL</v>
      </c>
      <c r="B19" s="94" t="n">
        <f aca="false">IF(UNIT_SYSTEM="SI",IF(K19="","",K19),IF(S19="","",S19))</f>
        <v>240</v>
      </c>
      <c r="C19" s="94" t="n">
        <f aca="false">IF(UNIT_SYSTEM="SI",IF(L19="","",L19),IF(T19="","",T19))</f>
        <v>35.7</v>
      </c>
      <c r="D19" s="94" t="n">
        <f aca="false">IF(UNIT_SYSTEM="SI",IF(M19="","",M19),IF(U19="","",U19))</f>
        <v>14.5</v>
      </c>
      <c r="E19" s="94" t="n">
        <f aca="false">IF(UNIT_SYSTEM="SI",IF(N19="","",N19),IF(V19="","",V19))</f>
        <v>-6.6</v>
      </c>
      <c r="F19" s="94" t="n">
        <f aca="false">IF(UNIT_SYSTEM="SI",IF(O19="","",O19),IF(W19="","",W19))</f>
        <v>-21</v>
      </c>
      <c r="G19" s="94" t="str">
        <f aca="false">IF(UNIT_SYSTEM="SI",IF(P19="","",P19),IF(X19="","",X19))</f>
        <v>27 J (20 ft-lb)</v>
      </c>
      <c r="J19" s="93" t="s">
        <v>545</v>
      </c>
      <c r="K19" s="0" t="n">
        <v>240</v>
      </c>
      <c r="L19" s="0" t="n">
        <v>35.7</v>
      </c>
      <c r="M19" s="0" t="n">
        <v>14.5</v>
      </c>
      <c r="N19" s="0" t="n">
        <v>-6.6</v>
      </c>
      <c r="O19" s="0" t="n">
        <v>-21</v>
      </c>
      <c r="P19" s="93" t="s">
        <v>734</v>
      </c>
      <c r="R19" s="93" t="s">
        <v>545</v>
      </c>
      <c r="S19" s="0" t="n">
        <v>38</v>
      </c>
      <c r="T19" s="0" t="n">
        <v>95.9</v>
      </c>
      <c r="U19" s="0" t="n">
        <v>57.9</v>
      </c>
      <c r="V19" s="0" t="n">
        <v>19.9</v>
      </c>
      <c r="W19" s="0" t="n">
        <v>-6.1</v>
      </c>
      <c r="X19" s="93" t="s">
        <v>734</v>
      </c>
    </row>
    <row r="20" customFormat="false" ht="15" hidden="false" customHeight="false" outlineLevel="0" collapsed="false">
      <c r="A20" s="72" t="str">
        <f aca="false">IF(UNIT_SYSTEM="SI",IF(J20="","",J20),IF(R20="","",R20))</f>
        <v>LOW_ALLOY_STEEL</v>
      </c>
      <c r="B20" s="92" t="n">
        <f aca="false">IF(UNIT_SYSTEM="SI",IF(K20="","",K20),IF(S20="","",S20))</f>
        <v>250</v>
      </c>
      <c r="C20" s="92" t="n">
        <f aca="false">IF(UNIT_SYSTEM="SI",IF(L20="","",L20),IF(T20="","",T20))</f>
        <v>35.6</v>
      </c>
      <c r="D20" s="92" t="n">
        <f aca="false">IF(UNIT_SYSTEM="SI",IF(M20="","",M20),IF(U20="","",U20))</f>
        <v>14.4</v>
      </c>
      <c r="E20" s="92" t="n">
        <f aca="false">IF(UNIT_SYSTEM="SI",IF(N20="","",N20),IF(V20="","",V20))</f>
        <v>-6.7</v>
      </c>
      <c r="F20" s="92" t="n">
        <f aca="false">IF(UNIT_SYSTEM="SI",IF(O20="","",O20),IF(W20="","",W20))</f>
        <v>-21.1</v>
      </c>
      <c r="G20" s="92" t="str">
        <f aca="false">IF(UNIT_SYSTEM="SI",IF(P20="","",P20),IF(X20="","",X20))</f>
        <v>27 J (20 ft-lb)</v>
      </c>
      <c r="J20" s="93" t="s">
        <v>545</v>
      </c>
      <c r="K20" s="0" t="n">
        <v>250</v>
      </c>
      <c r="L20" s="0" t="n">
        <v>35.6</v>
      </c>
      <c r="M20" s="0" t="n">
        <v>14.4</v>
      </c>
      <c r="N20" s="0" t="n">
        <v>-6.7</v>
      </c>
      <c r="O20" s="0" t="n">
        <v>-21.1</v>
      </c>
      <c r="P20" s="93" t="s">
        <v>734</v>
      </c>
      <c r="R20" s="93" t="s">
        <v>545</v>
      </c>
      <c r="S20" s="0" t="n">
        <v>40</v>
      </c>
      <c r="T20" s="0" t="n">
        <v>95.7</v>
      </c>
      <c r="U20" s="0" t="n">
        <v>57.7</v>
      </c>
      <c r="V20" s="0" t="n">
        <v>19.7</v>
      </c>
      <c r="W20" s="0" t="n">
        <v>-6.3</v>
      </c>
      <c r="X20" s="93" t="s">
        <v>734</v>
      </c>
    </row>
    <row r="21" customFormat="false" ht="15" hidden="false" customHeight="false" outlineLevel="0" collapsed="false">
      <c r="A21" s="80" t="str">
        <f aca="false">IF(UNIT_SYSTEM="SI",IF(J21="","",J21),IF(R21="","",R21))</f>
        <v>LOW_ALLOY_STEEL</v>
      </c>
      <c r="B21" s="94" t="n">
        <f aca="false">IF(UNIT_SYSTEM="SI",IF(K21="","",K21),IF(S21="","",S21))</f>
        <v>260</v>
      </c>
      <c r="C21" s="94" t="n">
        <f aca="false">IF(UNIT_SYSTEM="SI",IF(L21="","",L21),IF(T21="","",T21))</f>
        <v>35.5</v>
      </c>
      <c r="D21" s="94" t="n">
        <f aca="false">IF(UNIT_SYSTEM="SI",IF(M21="","",M21),IF(U21="","",U21))</f>
        <v>14.3</v>
      </c>
      <c r="E21" s="94" t="n">
        <f aca="false">IF(UNIT_SYSTEM="SI",IF(N21="","",N21),IF(V21="","",V21))</f>
        <v>-6.8</v>
      </c>
      <c r="F21" s="94" t="n">
        <f aca="false">IF(UNIT_SYSTEM="SI",IF(O21="","",O21),IF(W21="","",W21))</f>
        <v>-21.2</v>
      </c>
      <c r="G21" s="94" t="str">
        <f aca="false">IF(UNIT_SYSTEM="SI",IF(P21="","",P21),IF(X21="","",X21))</f>
        <v>27 J (20 ft-lb)</v>
      </c>
      <c r="J21" s="93" t="s">
        <v>545</v>
      </c>
      <c r="K21" s="0" t="n">
        <v>260</v>
      </c>
      <c r="L21" s="0" t="n">
        <v>35.5</v>
      </c>
      <c r="M21" s="0" t="n">
        <v>14.3</v>
      </c>
      <c r="N21" s="0" t="n">
        <v>-6.8</v>
      </c>
      <c r="O21" s="0" t="n">
        <v>-21.2</v>
      </c>
      <c r="P21" s="93" t="s">
        <v>734</v>
      </c>
      <c r="R21" s="93" t="s">
        <v>545</v>
      </c>
      <c r="S21" s="0" t="n">
        <v>42</v>
      </c>
      <c r="T21" s="0" t="n">
        <v>95.5</v>
      </c>
      <c r="U21" s="0" t="n">
        <v>57.5</v>
      </c>
      <c r="V21" s="0" t="n">
        <v>19.5</v>
      </c>
      <c r="W21" s="0" t="n">
        <v>-6.5</v>
      </c>
      <c r="X21" s="93" t="s">
        <v>734</v>
      </c>
    </row>
    <row r="22" customFormat="false" ht="15" hidden="false" customHeight="false" outlineLevel="0" collapsed="false">
      <c r="A22" s="72" t="str">
        <f aca="false">IF(UNIT_SYSTEM="SI",IF(J22="","",J22),IF(R22="","",R22))</f>
        <v>LOW_ALLOY_STEEL</v>
      </c>
      <c r="B22" s="92" t="n">
        <f aca="false">IF(UNIT_SYSTEM="SI",IF(K22="","",K22),IF(S22="","",S22))</f>
        <v>270</v>
      </c>
      <c r="C22" s="92" t="n">
        <f aca="false">IF(UNIT_SYSTEM="SI",IF(L22="","",L22),IF(T22="","",T22))</f>
        <v>35.4</v>
      </c>
      <c r="D22" s="92" t="n">
        <f aca="false">IF(UNIT_SYSTEM="SI",IF(M22="","",M22),IF(U22="","",U22))</f>
        <v>14.2</v>
      </c>
      <c r="E22" s="92" t="n">
        <f aca="false">IF(UNIT_SYSTEM="SI",IF(N22="","",N22),IF(V22="","",V22))</f>
        <v>-6.9</v>
      </c>
      <c r="F22" s="92" t="n">
        <f aca="false">IF(UNIT_SYSTEM="SI",IF(O22="","",O22),IF(W22="","",W22))</f>
        <v>-21.3</v>
      </c>
      <c r="G22" s="92" t="str">
        <f aca="false">IF(UNIT_SYSTEM="SI",IF(P22="","",P22),IF(X22="","",X22))</f>
        <v>27 J (20 ft-lb)</v>
      </c>
      <c r="J22" s="93" t="s">
        <v>545</v>
      </c>
      <c r="K22" s="0" t="n">
        <v>270</v>
      </c>
      <c r="L22" s="0" t="n">
        <v>35.4</v>
      </c>
      <c r="M22" s="0" t="n">
        <v>14.2</v>
      </c>
      <c r="N22" s="0" t="n">
        <v>-6.9</v>
      </c>
      <c r="O22" s="0" t="n">
        <v>-21.3</v>
      </c>
      <c r="P22" s="93" t="s">
        <v>734</v>
      </c>
      <c r="R22" s="93" t="s">
        <v>545</v>
      </c>
      <c r="S22" s="0" t="n">
        <v>44</v>
      </c>
      <c r="T22" s="0" t="n">
        <v>95.2</v>
      </c>
      <c r="U22" s="0" t="n">
        <v>57.2</v>
      </c>
      <c r="V22" s="0" t="n">
        <v>19.2</v>
      </c>
      <c r="W22" s="0" t="n">
        <v>-6.8</v>
      </c>
      <c r="X22" s="93" t="s">
        <v>734</v>
      </c>
    </row>
    <row r="23" customFormat="false" ht="15" hidden="false" customHeight="false" outlineLevel="0" collapsed="false">
      <c r="A23" s="80" t="str">
        <f aca="false">IF(UNIT_SYSTEM="SI",IF(J23="","",J23),IF(R23="","",R23))</f>
        <v>LOW_ALLOY_STEEL</v>
      </c>
      <c r="B23" s="94" t="n">
        <f aca="false">IF(UNIT_SYSTEM="SI",IF(K23="","",K23),IF(S23="","",S23))</f>
        <v>280</v>
      </c>
      <c r="C23" s="94" t="n">
        <f aca="false">IF(UNIT_SYSTEM="SI",IF(L23="","",L23),IF(T23="","",T23))</f>
        <v>35.3</v>
      </c>
      <c r="D23" s="94" t="n">
        <f aca="false">IF(UNIT_SYSTEM="SI",IF(M23="","",M23),IF(U23="","",U23))</f>
        <v>14.1</v>
      </c>
      <c r="E23" s="94" t="n">
        <f aca="false">IF(UNIT_SYSTEM="SI",IF(N23="","",N23),IF(V23="","",V23))</f>
        <v>-7</v>
      </c>
      <c r="F23" s="94" t="n">
        <f aca="false">IF(UNIT_SYSTEM="SI",IF(O23="","",O23),IF(W23="","",W23))</f>
        <v>-21.4</v>
      </c>
      <c r="G23" s="94" t="str">
        <f aca="false">IF(UNIT_SYSTEM="SI",IF(P23="","",P23),IF(X23="","",X23))</f>
        <v>27 J (20 ft-lb)</v>
      </c>
      <c r="J23" s="93" t="s">
        <v>545</v>
      </c>
      <c r="K23" s="0" t="n">
        <v>280</v>
      </c>
      <c r="L23" s="0" t="n">
        <v>35.3</v>
      </c>
      <c r="M23" s="0" t="n">
        <v>14.1</v>
      </c>
      <c r="N23" s="0" t="n">
        <v>-7</v>
      </c>
      <c r="O23" s="0" t="n">
        <v>-21.4</v>
      </c>
      <c r="P23" s="93" t="s">
        <v>734</v>
      </c>
      <c r="R23" s="93" t="s">
        <v>545</v>
      </c>
      <c r="S23" s="0" t="n">
        <v>46</v>
      </c>
      <c r="T23" s="0" t="n">
        <v>95</v>
      </c>
      <c r="U23" s="0" t="n">
        <v>57</v>
      </c>
      <c r="V23" s="0" t="n">
        <v>19</v>
      </c>
      <c r="W23" s="0" t="n">
        <v>-7</v>
      </c>
      <c r="X23" s="93" t="s">
        <v>734</v>
      </c>
    </row>
    <row r="24" customFormat="false" ht="15" hidden="false" customHeight="false" outlineLevel="0" collapsed="false">
      <c r="A24" s="72" t="str">
        <f aca="false">IF(UNIT_SYSTEM="SI",IF(J24="","",J24),IF(R24="","",R24))</f>
        <v>LOW_ALLOY_STEEL</v>
      </c>
      <c r="B24" s="92" t="n">
        <f aca="false">IF(UNIT_SYSTEM="SI",IF(K24="","",K24),IF(S24="","",S24))</f>
        <v>290</v>
      </c>
      <c r="C24" s="92" t="n">
        <f aca="false">IF(UNIT_SYSTEM="SI",IF(L24="","",L24),IF(T24="","",T24))</f>
        <v>35.2</v>
      </c>
      <c r="D24" s="92" t="n">
        <f aca="false">IF(UNIT_SYSTEM="SI",IF(M24="","",M24),IF(U24="","",U24))</f>
        <v>14</v>
      </c>
      <c r="E24" s="92" t="n">
        <f aca="false">IF(UNIT_SYSTEM="SI",IF(N24="","",N24),IF(V24="","",V24))</f>
        <v>-7.1</v>
      </c>
      <c r="F24" s="92" t="n">
        <f aca="false">IF(UNIT_SYSTEM="SI",IF(O24="","",O24),IF(W24="","",W24))</f>
        <v>-21.5</v>
      </c>
      <c r="G24" s="92" t="str">
        <f aca="false">IF(UNIT_SYSTEM="SI",IF(P24="","",P24),IF(X24="","",X24))</f>
        <v>27 J (20 ft-lb)</v>
      </c>
      <c r="J24" s="93" t="s">
        <v>545</v>
      </c>
      <c r="K24" s="0" t="n">
        <v>290</v>
      </c>
      <c r="L24" s="0" t="n">
        <v>35.2</v>
      </c>
      <c r="M24" s="0" t="n">
        <v>14</v>
      </c>
      <c r="N24" s="0" t="n">
        <v>-7.1</v>
      </c>
      <c r="O24" s="0" t="n">
        <v>-21.5</v>
      </c>
      <c r="P24" s="93" t="s">
        <v>734</v>
      </c>
      <c r="R24" s="93" t="s">
        <v>545</v>
      </c>
      <c r="S24" s="0" t="n">
        <v>48</v>
      </c>
      <c r="T24" s="0" t="n">
        <v>94.8</v>
      </c>
      <c r="U24" s="0" t="n">
        <v>56.8</v>
      </c>
      <c r="V24" s="0" t="n">
        <v>18.8</v>
      </c>
      <c r="W24" s="0" t="n">
        <v>-7.2</v>
      </c>
      <c r="X24" s="93" t="s">
        <v>734</v>
      </c>
    </row>
    <row r="25" customFormat="false" ht="15" hidden="false" customHeight="false" outlineLevel="0" collapsed="false">
      <c r="A25" s="80" t="str">
        <f aca="false">IF(UNIT_SYSTEM="SI",IF(J25="","",J25),IF(R25="","",R25))</f>
        <v>LOW_ALLOY_STEEL</v>
      </c>
      <c r="B25" s="94" t="n">
        <f aca="false">IF(UNIT_SYSTEM="SI",IF(K25="","",K25),IF(S25="","",S25))</f>
        <v>300</v>
      </c>
      <c r="C25" s="94" t="n">
        <f aca="false">IF(UNIT_SYSTEM="SI",IF(L25="","",L25),IF(T25="","",T25))</f>
        <v>35.1</v>
      </c>
      <c r="D25" s="94" t="n">
        <f aca="false">IF(UNIT_SYSTEM="SI",IF(M25="","",M25),IF(U25="","",U25))</f>
        <v>13.9</v>
      </c>
      <c r="E25" s="94" t="n">
        <f aca="false">IF(UNIT_SYSTEM="SI",IF(N25="","",N25),IF(V25="","",V25))</f>
        <v>-7.2</v>
      </c>
      <c r="F25" s="94" t="n">
        <f aca="false">IF(UNIT_SYSTEM="SI",IF(O25="","",O25),IF(W25="","",W25))</f>
        <v>-21.6</v>
      </c>
      <c r="G25" s="94" t="str">
        <f aca="false">IF(UNIT_SYSTEM="SI",IF(P25="","",P25),IF(X25="","",X25))</f>
        <v>27 J (20 ft-lb)</v>
      </c>
      <c r="J25" s="93" t="s">
        <v>545</v>
      </c>
      <c r="K25" s="0" t="n">
        <v>300</v>
      </c>
      <c r="L25" s="0" t="n">
        <v>35.1</v>
      </c>
      <c r="M25" s="0" t="n">
        <v>13.9</v>
      </c>
      <c r="N25" s="0" t="n">
        <v>-7.2</v>
      </c>
      <c r="O25" s="0" t="n">
        <v>-21.6</v>
      </c>
      <c r="P25" s="93" t="s">
        <v>734</v>
      </c>
      <c r="R25" s="93" t="s">
        <v>545</v>
      </c>
      <c r="S25" s="0" t="n">
        <v>50</v>
      </c>
      <c r="T25" s="0" t="n">
        <v>94.5</v>
      </c>
      <c r="U25" s="0" t="n">
        <v>56.5</v>
      </c>
      <c r="V25" s="0" t="n">
        <v>18.5</v>
      </c>
      <c r="W25" s="0" t="n">
        <v>-7.5</v>
      </c>
      <c r="X25" s="93" t="s">
        <v>734</v>
      </c>
    </row>
    <row r="26" customFormat="false" ht="15" hidden="false" customHeight="false" outlineLevel="0" collapsed="false">
      <c r="A26" s="72" t="str">
        <f aca="false">IF(UNIT_SYSTEM="SI",IF(J26="","",J26),IF(R26="","",R26))</f>
        <v>LOW_ALLOY_STEEL</v>
      </c>
      <c r="B26" s="92" t="n">
        <f aca="false">IF(UNIT_SYSTEM="SI",IF(K26="","",K26),IF(S26="","",S26))</f>
        <v>310</v>
      </c>
      <c r="C26" s="92" t="n">
        <f aca="false">IF(UNIT_SYSTEM="SI",IF(L26="","",L26),IF(T26="","",T26))</f>
        <v>35</v>
      </c>
      <c r="D26" s="92" t="n">
        <f aca="false">IF(UNIT_SYSTEM="SI",IF(M26="","",M26),IF(U26="","",U26))</f>
        <v>13.8</v>
      </c>
      <c r="E26" s="92" t="n">
        <f aca="false">IF(UNIT_SYSTEM="SI",IF(N26="","",N26),IF(V26="","",V26))</f>
        <v>-7.3</v>
      </c>
      <c r="F26" s="92" t="n">
        <f aca="false">IF(UNIT_SYSTEM="SI",IF(O26="","",O26),IF(W26="","",W26))</f>
        <v>-21.7</v>
      </c>
      <c r="G26" s="92" t="str">
        <f aca="false">IF(UNIT_SYSTEM="SI",IF(P26="","",P26),IF(X26="","",X26))</f>
        <v>27 J (20 ft-lb)</v>
      </c>
      <c r="J26" s="93" t="s">
        <v>545</v>
      </c>
      <c r="K26" s="0" t="n">
        <v>310</v>
      </c>
      <c r="L26" s="0" t="n">
        <v>35</v>
      </c>
      <c r="M26" s="0" t="n">
        <v>13.8</v>
      </c>
      <c r="N26" s="0" t="n">
        <v>-7.3</v>
      </c>
      <c r="O26" s="0" t="n">
        <v>-21.7</v>
      </c>
      <c r="P26" s="93" t="s">
        <v>734</v>
      </c>
      <c r="R26" s="93" t="s">
        <v>545</v>
      </c>
      <c r="S26" s="0" t="n">
        <v>52</v>
      </c>
      <c r="T26" s="0" t="n">
        <v>94.3</v>
      </c>
      <c r="U26" s="0" t="n">
        <v>56.3</v>
      </c>
      <c r="V26" s="0" t="n">
        <v>18.3</v>
      </c>
      <c r="W26" s="0" t="n">
        <v>-7.7</v>
      </c>
      <c r="X26" s="93" t="s">
        <v>734</v>
      </c>
    </row>
    <row r="27" customFormat="false" ht="15" hidden="false" customHeight="false" outlineLevel="0" collapsed="false">
      <c r="A27" s="80" t="str">
        <f aca="false">IF(UNIT_SYSTEM="SI",IF(J27="","",J27),IF(R27="","",R27))</f>
        <v>LOW_ALLOY_STEEL</v>
      </c>
      <c r="B27" s="94" t="n">
        <f aca="false">IF(UNIT_SYSTEM="SI",IF(K27="","",K27),IF(S27="","",S27))</f>
        <v>320</v>
      </c>
      <c r="C27" s="94" t="n">
        <f aca="false">IF(UNIT_SYSTEM="SI",IF(L27="","",L27),IF(T27="","",T27))</f>
        <v>34.9</v>
      </c>
      <c r="D27" s="94" t="n">
        <f aca="false">IF(UNIT_SYSTEM="SI",IF(M27="","",M27),IF(U27="","",U27))</f>
        <v>13.7</v>
      </c>
      <c r="E27" s="94" t="n">
        <f aca="false">IF(UNIT_SYSTEM="SI",IF(N27="","",N27),IF(V27="","",V27))</f>
        <v>-7.3</v>
      </c>
      <c r="F27" s="94" t="n">
        <f aca="false">IF(UNIT_SYSTEM="SI",IF(O27="","",O27),IF(W27="","",W27))</f>
        <v>-21.8</v>
      </c>
      <c r="G27" s="94" t="str">
        <f aca="false">IF(UNIT_SYSTEM="SI",IF(P27="","",P27),IF(X27="","",X27))</f>
        <v>27 J (20 ft-lb)</v>
      </c>
      <c r="J27" s="93" t="s">
        <v>545</v>
      </c>
      <c r="K27" s="0" t="n">
        <v>320</v>
      </c>
      <c r="L27" s="0" t="n">
        <v>34.9</v>
      </c>
      <c r="M27" s="0" t="n">
        <v>13.7</v>
      </c>
      <c r="N27" s="0" t="n">
        <v>-7.3</v>
      </c>
      <c r="O27" s="0" t="n">
        <v>-21.8</v>
      </c>
      <c r="P27" s="93" t="s">
        <v>734</v>
      </c>
      <c r="R27" s="93" t="s">
        <v>545</v>
      </c>
      <c r="S27" s="0" t="n">
        <v>54</v>
      </c>
      <c r="T27" s="0" t="n">
        <v>94</v>
      </c>
      <c r="U27" s="0" t="n">
        <v>56</v>
      </c>
      <c r="V27" s="0" t="n">
        <v>18</v>
      </c>
      <c r="W27" s="0" t="n">
        <v>-8</v>
      </c>
      <c r="X27" s="93" t="s">
        <v>734</v>
      </c>
    </row>
    <row r="28" customFormat="false" ht="15" hidden="false" customHeight="false" outlineLevel="0" collapsed="false">
      <c r="A28" s="72" t="str">
        <f aca="false">IF(UNIT_SYSTEM="SI",IF(J28="","",J28),IF(R28="","",R28))</f>
        <v>LOW_ALLOY_STEEL</v>
      </c>
      <c r="B28" s="92" t="n">
        <f aca="false">IF(UNIT_SYSTEM="SI",IF(K28="","",K28),IF(S28="","",S28))</f>
        <v>330</v>
      </c>
      <c r="C28" s="92" t="n">
        <f aca="false">IF(UNIT_SYSTEM="SI",IF(L28="","",L28),IF(T28="","",T28))</f>
        <v>34.8</v>
      </c>
      <c r="D28" s="92" t="n">
        <f aca="false">IF(UNIT_SYSTEM="SI",IF(M28="","",M28),IF(U28="","",U28))</f>
        <v>13.6</v>
      </c>
      <c r="E28" s="92" t="n">
        <f aca="false">IF(UNIT_SYSTEM="SI",IF(N28="","",N28),IF(V28="","",V28))</f>
        <v>-7.4</v>
      </c>
      <c r="F28" s="92" t="n">
        <f aca="false">IF(UNIT_SYSTEM="SI",IF(O28="","",O28),IF(W28="","",W28))</f>
        <v>-21.9</v>
      </c>
      <c r="G28" s="92" t="str">
        <f aca="false">IF(UNIT_SYSTEM="SI",IF(P28="","",P28),IF(X28="","",X28))</f>
        <v>27 J (20 ft-lb)</v>
      </c>
      <c r="J28" s="93" t="s">
        <v>545</v>
      </c>
      <c r="K28" s="0" t="n">
        <v>330</v>
      </c>
      <c r="L28" s="0" t="n">
        <v>34.8</v>
      </c>
      <c r="M28" s="0" t="n">
        <v>13.6</v>
      </c>
      <c r="N28" s="0" t="n">
        <v>-7.4</v>
      </c>
      <c r="O28" s="0" t="n">
        <v>-21.9</v>
      </c>
      <c r="P28" s="93" t="s">
        <v>734</v>
      </c>
      <c r="R28" s="93" t="s">
        <v>545</v>
      </c>
      <c r="S28" s="0" t="n">
        <v>56</v>
      </c>
      <c r="T28" s="0" t="n">
        <v>93.8</v>
      </c>
      <c r="U28" s="0" t="n">
        <v>55.8</v>
      </c>
      <c r="V28" s="0" t="n">
        <v>17.8</v>
      </c>
      <c r="W28" s="0" t="n">
        <v>-8.2</v>
      </c>
      <c r="X28" s="93" t="s">
        <v>734</v>
      </c>
    </row>
    <row r="29" customFormat="false" ht="15" hidden="false" customHeight="false" outlineLevel="0" collapsed="false">
      <c r="A29" s="80" t="str">
        <f aca="false">IF(UNIT_SYSTEM="SI",IF(J29="","",J29),IF(R29="","",R29))</f>
        <v>LOW_ALLOY_STEEL</v>
      </c>
      <c r="B29" s="94" t="n">
        <f aca="false">IF(UNIT_SYSTEM="SI",IF(K29="","",K29),IF(S29="","",S29))</f>
        <v>340</v>
      </c>
      <c r="C29" s="94" t="n">
        <f aca="false">IF(UNIT_SYSTEM="SI",IF(L29="","",L29),IF(T29="","",T29))</f>
        <v>34.7</v>
      </c>
      <c r="D29" s="94" t="n">
        <f aca="false">IF(UNIT_SYSTEM="SI",IF(M29="","",M29),IF(U29="","",U29))</f>
        <v>13.5</v>
      </c>
      <c r="E29" s="94" t="n">
        <f aca="false">IF(UNIT_SYSTEM="SI",IF(N29="","",N29),IF(V29="","",V29))</f>
        <v>-7.5</v>
      </c>
      <c r="F29" s="94" t="n">
        <f aca="false">IF(UNIT_SYSTEM="SI",IF(O29="","",O29),IF(W29="","",W29))</f>
        <v>-22</v>
      </c>
      <c r="G29" s="94" t="str">
        <f aca="false">IF(UNIT_SYSTEM="SI",IF(P29="","",P29),IF(X29="","",X29))</f>
        <v>27 J (20 ft-lb)</v>
      </c>
      <c r="J29" s="93" t="s">
        <v>545</v>
      </c>
      <c r="K29" s="0" t="n">
        <v>340</v>
      </c>
      <c r="L29" s="0" t="n">
        <v>34.7</v>
      </c>
      <c r="M29" s="0" t="n">
        <v>13.5</v>
      </c>
      <c r="N29" s="0" t="n">
        <v>-7.5</v>
      </c>
      <c r="O29" s="0" t="n">
        <v>-22</v>
      </c>
      <c r="P29" s="93" t="s">
        <v>734</v>
      </c>
      <c r="R29" s="93" t="s">
        <v>545</v>
      </c>
      <c r="S29" s="0" t="n">
        <v>58</v>
      </c>
      <c r="T29" s="0" t="n">
        <v>93.6</v>
      </c>
      <c r="U29" s="0" t="n">
        <v>55.6</v>
      </c>
      <c r="V29" s="0" t="n">
        <v>17.6</v>
      </c>
      <c r="W29" s="0" t="n">
        <v>-8.4</v>
      </c>
      <c r="X29" s="93" t="s">
        <v>734</v>
      </c>
    </row>
    <row r="30" customFormat="false" ht="15" hidden="false" customHeight="false" outlineLevel="0" collapsed="false">
      <c r="A30" s="72" t="str">
        <f aca="false">IF(UNIT_SYSTEM="SI",IF(J30="","",J30),IF(R30="","",R30))</f>
        <v>LOW_ALLOY_STEEL</v>
      </c>
      <c r="B30" s="92" t="n">
        <f aca="false">IF(UNIT_SYSTEM="SI",IF(K30="","",K30),IF(S30="","",S30))</f>
        <v>360</v>
      </c>
      <c r="C30" s="92" t="n">
        <f aca="false">IF(UNIT_SYSTEM="SI",IF(L30="","",L30),IF(T30="","",T30))</f>
        <v>34.5</v>
      </c>
      <c r="D30" s="92" t="n">
        <f aca="false">IF(UNIT_SYSTEM="SI",IF(M30="","",M30),IF(U30="","",U30))</f>
        <v>13.3</v>
      </c>
      <c r="E30" s="92" t="n">
        <f aca="false">IF(UNIT_SYSTEM="SI",IF(N30="","",N30),IF(V30="","",V30))</f>
        <v>-7.7</v>
      </c>
      <c r="F30" s="92" t="n">
        <f aca="false">IF(UNIT_SYSTEM="SI",IF(O30="","",O30),IF(W30="","",W30))</f>
        <v>-22.2</v>
      </c>
      <c r="G30" s="92" t="str">
        <f aca="false">IF(UNIT_SYSTEM="SI",IF(P30="","",P30),IF(X30="","",X30))</f>
        <v>27 J (20 ft-lb)</v>
      </c>
      <c r="J30" s="93" t="s">
        <v>545</v>
      </c>
      <c r="K30" s="0" t="n">
        <v>360</v>
      </c>
      <c r="L30" s="0" t="n">
        <v>34.5</v>
      </c>
      <c r="M30" s="0" t="n">
        <v>13.3</v>
      </c>
      <c r="N30" s="0" t="n">
        <v>-7.7</v>
      </c>
      <c r="O30" s="0" t="n">
        <v>-22.2</v>
      </c>
      <c r="P30" s="93" t="s">
        <v>734</v>
      </c>
      <c r="R30" s="93" t="s">
        <v>545</v>
      </c>
      <c r="S30" s="0" t="n">
        <v>60</v>
      </c>
      <c r="T30" s="0" t="n">
        <v>93.3</v>
      </c>
      <c r="U30" s="0" t="n">
        <v>55.3</v>
      </c>
      <c r="V30" s="0" t="n">
        <v>17.3</v>
      </c>
      <c r="W30" s="0" t="n">
        <v>-8.7</v>
      </c>
      <c r="X30" s="93" t="s">
        <v>734</v>
      </c>
    </row>
    <row r="31" customFormat="false" ht="15" hidden="false" customHeight="false" outlineLevel="0" collapsed="false">
      <c r="A31" s="80" t="str">
        <f aca="false">IF(UNIT_SYSTEM="SI",IF(J31="","",J31),IF(R31="","",R31))</f>
        <v>LOW_ALLOY_STEEL</v>
      </c>
      <c r="B31" s="94" t="n">
        <f aca="false">IF(UNIT_SYSTEM="SI",IF(K31="","",K31),IF(S31="","",S31))</f>
        <v>380</v>
      </c>
      <c r="C31" s="94" t="n">
        <f aca="false">IF(UNIT_SYSTEM="SI",IF(L31="","",L31),IF(T31="","",T31))</f>
        <v>34.3</v>
      </c>
      <c r="D31" s="94" t="n">
        <f aca="false">IF(UNIT_SYSTEM="SI",IF(M31="","",M31),IF(U31="","",U31))</f>
        <v>13.1</v>
      </c>
      <c r="E31" s="94" t="n">
        <f aca="false">IF(UNIT_SYSTEM="SI",IF(N31="","",N31),IF(V31="","",V31))</f>
        <v>-7.9</v>
      </c>
      <c r="F31" s="94" t="n">
        <f aca="false">IF(UNIT_SYSTEM="SI",IF(O31="","",O31),IF(W31="","",W31))</f>
        <v>-22.4</v>
      </c>
      <c r="G31" s="94" t="str">
        <f aca="false">IF(UNIT_SYSTEM="SI",IF(P31="","",P31),IF(X31="","",X31))</f>
        <v>27 J (20 ft-lb)</v>
      </c>
      <c r="J31" s="93" t="s">
        <v>545</v>
      </c>
      <c r="K31" s="0" t="n">
        <v>380</v>
      </c>
      <c r="L31" s="0" t="n">
        <v>34.3</v>
      </c>
      <c r="M31" s="0" t="n">
        <v>13.1</v>
      </c>
      <c r="N31" s="0" t="n">
        <v>-7.9</v>
      </c>
      <c r="O31" s="0" t="n">
        <v>-22.4</v>
      </c>
      <c r="P31" s="93" t="s">
        <v>734</v>
      </c>
      <c r="R31" s="93" t="s">
        <v>545</v>
      </c>
      <c r="S31" s="0" t="n">
        <v>62</v>
      </c>
      <c r="T31" s="0" t="n">
        <v>93.1</v>
      </c>
      <c r="U31" s="0" t="n">
        <v>55.1</v>
      </c>
      <c r="V31" s="0" t="n">
        <v>17.1</v>
      </c>
      <c r="W31" s="0" t="n">
        <v>-8.9</v>
      </c>
      <c r="X31" s="93" t="s">
        <v>734</v>
      </c>
    </row>
    <row r="32" customFormat="false" ht="15" hidden="false" customHeight="false" outlineLevel="0" collapsed="false">
      <c r="A32" s="72" t="str">
        <f aca="false">IF(UNIT_SYSTEM="SI",IF(J32="","",J32),IF(R32="","",R32))</f>
        <v>LOW_ALLOY_STEEL</v>
      </c>
      <c r="B32" s="92" t="n">
        <f aca="false">IF(UNIT_SYSTEM="SI",IF(K32="","",K32),IF(S32="","",S32))</f>
        <v>400</v>
      </c>
      <c r="C32" s="92" t="n">
        <f aca="false">IF(UNIT_SYSTEM="SI",IF(L32="","",L32),IF(T32="","",T32))</f>
        <v>34.1</v>
      </c>
      <c r="D32" s="92" t="n">
        <f aca="false">IF(UNIT_SYSTEM="SI",IF(M32="","",M32),IF(U32="","",U32))</f>
        <v>12.9</v>
      </c>
      <c r="E32" s="92" t="n">
        <f aca="false">IF(UNIT_SYSTEM="SI",IF(N32="","",N32),IF(V32="","",V32))</f>
        <v>-8.1</v>
      </c>
      <c r="F32" s="92" t="n">
        <f aca="false">IF(UNIT_SYSTEM="SI",IF(O32="","",O32),IF(W32="","",W32))</f>
        <v>-22.6</v>
      </c>
      <c r="G32" s="92" t="str">
        <f aca="false">IF(UNIT_SYSTEM="SI",IF(P32="","",P32),IF(X32="","",X32))</f>
        <v>27 J (20 ft-lb)</v>
      </c>
      <c r="J32" s="93" t="s">
        <v>545</v>
      </c>
      <c r="K32" s="0" t="n">
        <v>400</v>
      </c>
      <c r="L32" s="0" t="n">
        <v>34.1</v>
      </c>
      <c r="M32" s="0" t="n">
        <v>12.9</v>
      </c>
      <c r="N32" s="0" t="n">
        <v>-8.1</v>
      </c>
      <c r="O32" s="0" t="n">
        <v>-22.6</v>
      </c>
      <c r="P32" s="93" t="s">
        <v>734</v>
      </c>
      <c r="R32" s="93" t="s">
        <v>545</v>
      </c>
      <c r="S32" s="0" t="n">
        <v>64</v>
      </c>
      <c r="T32" s="0" t="n">
        <v>92.8</v>
      </c>
      <c r="U32" s="0" t="n">
        <v>54.8</v>
      </c>
      <c r="V32" s="0" t="n">
        <v>16.8</v>
      </c>
      <c r="W32" s="0" t="n">
        <v>-9.2</v>
      </c>
      <c r="X32" s="93" t="s">
        <v>734</v>
      </c>
    </row>
    <row r="33" customFormat="false" ht="15" hidden="false" customHeight="false" outlineLevel="0" collapsed="false">
      <c r="A33" s="80" t="str">
        <f aca="false">IF(UNIT_SYSTEM="SI",IF(J33="","",J33),IF(R33="","",R33))</f>
        <v>LOW_ALLOY_STEEL</v>
      </c>
      <c r="B33" s="94" t="n">
        <f aca="false">IF(UNIT_SYSTEM="SI",IF(K33="","",K33),IF(S33="","",S33))</f>
        <v>420</v>
      </c>
      <c r="C33" s="94" t="n">
        <f aca="false">IF(UNIT_SYSTEM="SI",IF(L33="","",L33),IF(T33="","",T33))</f>
        <v>33.9</v>
      </c>
      <c r="D33" s="94" t="n">
        <f aca="false">IF(UNIT_SYSTEM="SI",IF(M33="","",M33),IF(U33="","",U33))</f>
        <v>12.7</v>
      </c>
      <c r="E33" s="94" t="n">
        <f aca="false">IF(UNIT_SYSTEM="SI",IF(N33="","",N33),IF(V33="","",V33))</f>
        <v>-8.3</v>
      </c>
      <c r="F33" s="94" t="n">
        <f aca="false">IF(UNIT_SYSTEM="SI",IF(O33="","",O33),IF(W33="","",W33))</f>
        <v>-22.8</v>
      </c>
      <c r="G33" s="94" t="str">
        <f aca="false">IF(UNIT_SYSTEM="SI",IF(P33="","",P33),IF(X33="","",X33))</f>
        <v>27 J (20 ft-lb)</v>
      </c>
      <c r="J33" s="93" t="s">
        <v>545</v>
      </c>
      <c r="K33" s="0" t="n">
        <v>420</v>
      </c>
      <c r="L33" s="0" t="n">
        <v>33.9</v>
      </c>
      <c r="M33" s="0" t="n">
        <v>12.7</v>
      </c>
      <c r="N33" s="0" t="n">
        <v>-8.3</v>
      </c>
      <c r="O33" s="0" t="n">
        <v>-22.8</v>
      </c>
      <c r="P33" s="93" t="s">
        <v>734</v>
      </c>
      <c r="R33" s="93" t="s">
        <v>545</v>
      </c>
      <c r="S33" s="0" t="n">
        <v>66</v>
      </c>
      <c r="T33" s="0" t="n">
        <v>92.5</v>
      </c>
      <c r="U33" s="0" t="n">
        <v>54.5</v>
      </c>
      <c r="V33" s="0" t="n">
        <v>16.5</v>
      </c>
      <c r="W33" s="0" t="n">
        <v>-9.5</v>
      </c>
      <c r="X33" s="93" t="s">
        <v>734</v>
      </c>
    </row>
    <row r="34" customFormat="false" ht="15" hidden="false" customHeight="false" outlineLevel="0" collapsed="false">
      <c r="A34" s="72" t="str">
        <f aca="false">IF(UNIT_SYSTEM="SI",IF(J34="","",J34),IF(R34="","",R34))</f>
        <v>LOW_ALLOY_STEEL</v>
      </c>
      <c r="B34" s="92" t="n">
        <f aca="false">IF(UNIT_SYSTEM="SI",IF(K34="","",K34),IF(S34="","",S34))</f>
        <v>440</v>
      </c>
      <c r="C34" s="92" t="n">
        <f aca="false">IF(UNIT_SYSTEM="SI",IF(L34="","",L34),IF(T34="","",T34))</f>
        <v>33.7</v>
      </c>
      <c r="D34" s="92" t="n">
        <f aca="false">IF(UNIT_SYSTEM="SI",IF(M34="","",M34),IF(U34="","",U34))</f>
        <v>12.5</v>
      </c>
      <c r="E34" s="92" t="n">
        <f aca="false">IF(UNIT_SYSTEM="SI",IF(N34="","",N34),IF(V34="","",V34))</f>
        <v>-8.5</v>
      </c>
      <c r="F34" s="92" t="n">
        <f aca="false">IF(UNIT_SYSTEM="SI",IF(O34="","",O34),IF(W34="","",W34))</f>
        <v>-23</v>
      </c>
      <c r="G34" s="92" t="str">
        <f aca="false">IF(UNIT_SYSTEM="SI",IF(P34="","",P34),IF(X34="","",X34))</f>
        <v>27 J (20 ft-lb)</v>
      </c>
      <c r="J34" s="93" t="s">
        <v>545</v>
      </c>
      <c r="K34" s="0" t="n">
        <v>440</v>
      </c>
      <c r="L34" s="0" t="n">
        <v>33.7</v>
      </c>
      <c r="M34" s="0" t="n">
        <v>12.5</v>
      </c>
      <c r="N34" s="0" t="n">
        <v>-8.5</v>
      </c>
      <c r="O34" s="0" t="n">
        <v>-23</v>
      </c>
      <c r="P34" s="93" t="s">
        <v>734</v>
      </c>
      <c r="R34" s="93" t="s">
        <v>545</v>
      </c>
      <c r="S34" s="0" t="n">
        <v>68</v>
      </c>
      <c r="T34" s="0" t="n">
        <v>92.3</v>
      </c>
      <c r="U34" s="0" t="n">
        <v>54.3</v>
      </c>
      <c r="V34" s="0" t="n">
        <v>16.3</v>
      </c>
      <c r="W34" s="0" t="n">
        <v>-9.7</v>
      </c>
      <c r="X34" s="93" t="s">
        <v>734</v>
      </c>
    </row>
    <row r="35" customFormat="false" ht="15" hidden="false" customHeight="false" outlineLevel="0" collapsed="false">
      <c r="A35" s="80" t="str">
        <f aca="false">IF(UNIT_SYSTEM="SI",IF(J35="","",J35),IF(R35="","",R35))</f>
        <v>LOW_ALLOY_STEEL</v>
      </c>
      <c r="B35" s="94" t="n">
        <f aca="false">IF(UNIT_SYSTEM="SI",IF(K35="","",K35),IF(S35="","",S35))</f>
        <v>460</v>
      </c>
      <c r="C35" s="94" t="n">
        <f aca="false">IF(UNIT_SYSTEM="SI",IF(L35="","",L35),IF(T35="","",T35))</f>
        <v>33.5</v>
      </c>
      <c r="D35" s="94" t="n">
        <f aca="false">IF(UNIT_SYSTEM="SI",IF(M35="","",M35),IF(U35="","",U35))</f>
        <v>12.3</v>
      </c>
      <c r="E35" s="94" t="n">
        <f aca="false">IF(UNIT_SYSTEM="SI",IF(N35="","",N35),IF(V35="","",V35))</f>
        <v>-8.7</v>
      </c>
      <c r="F35" s="94" t="n">
        <f aca="false">IF(UNIT_SYSTEM="SI",IF(O35="","",O35),IF(W35="","",W35))</f>
        <v>-23.2</v>
      </c>
      <c r="G35" s="94" t="str">
        <f aca="false">IF(UNIT_SYSTEM="SI",IF(P35="","",P35),IF(X35="","",X35))</f>
        <v>27 J (20 ft-lb)</v>
      </c>
      <c r="J35" s="93" t="s">
        <v>545</v>
      </c>
      <c r="K35" s="0" t="n">
        <v>460</v>
      </c>
      <c r="L35" s="0" t="n">
        <v>33.5</v>
      </c>
      <c r="M35" s="0" t="n">
        <v>12.3</v>
      </c>
      <c r="N35" s="0" t="n">
        <v>-8.7</v>
      </c>
      <c r="O35" s="0" t="n">
        <v>-23.2</v>
      </c>
      <c r="P35" s="93" t="s">
        <v>734</v>
      </c>
      <c r="R35" s="93" t="s">
        <v>545</v>
      </c>
      <c r="S35" s="0" t="n">
        <v>70</v>
      </c>
      <c r="T35" s="0" t="n">
        <v>92</v>
      </c>
      <c r="U35" s="0" t="n">
        <v>54</v>
      </c>
      <c r="V35" s="0" t="n">
        <v>16</v>
      </c>
      <c r="W35" s="0" t="n">
        <v>-10</v>
      </c>
      <c r="X35" s="93" t="s">
        <v>734</v>
      </c>
    </row>
    <row r="36" customFormat="false" ht="15" hidden="false" customHeight="false" outlineLevel="0" collapsed="false">
      <c r="A36" s="72" t="str">
        <f aca="false">IF(UNIT_SYSTEM="SI",IF(J36="","",J36),IF(R36="","",R36))</f>
        <v>LOW_ALLOY_STEEL</v>
      </c>
      <c r="B36" s="92" t="n">
        <f aca="false">IF(UNIT_SYSTEM="SI",IF(K36="","",K36),IF(S36="","",S36))</f>
        <v>480</v>
      </c>
      <c r="C36" s="92" t="n">
        <f aca="false">IF(UNIT_SYSTEM="SI",IF(L36="","",L36),IF(T36="","",T36))</f>
        <v>33.3</v>
      </c>
      <c r="D36" s="92" t="n">
        <f aca="false">IF(UNIT_SYSTEM="SI",IF(M36="","",M36),IF(U36="","",U36))</f>
        <v>12.1</v>
      </c>
      <c r="E36" s="92" t="n">
        <f aca="false">IF(UNIT_SYSTEM="SI",IF(N36="","",N36),IF(V36="","",V36))</f>
        <v>-8.9</v>
      </c>
      <c r="F36" s="92" t="n">
        <f aca="false">IF(UNIT_SYSTEM="SI",IF(O36="","",O36),IF(W36="","",W36))</f>
        <v>-23.4</v>
      </c>
      <c r="G36" s="92" t="str">
        <f aca="false">IF(UNIT_SYSTEM="SI",IF(P36="","",P36),IF(X36="","",X36))</f>
        <v>27 J (20 ft-lb)</v>
      </c>
      <c r="J36" s="93" t="s">
        <v>545</v>
      </c>
      <c r="K36" s="0" t="n">
        <v>480</v>
      </c>
      <c r="L36" s="0" t="n">
        <v>33.3</v>
      </c>
      <c r="M36" s="0" t="n">
        <v>12.1</v>
      </c>
      <c r="N36" s="0" t="n">
        <v>-8.9</v>
      </c>
      <c r="O36" s="0" t="n">
        <v>-23.4</v>
      </c>
      <c r="P36" s="93" t="s">
        <v>734</v>
      </c>
      <c r="R36" s="93" t="s">
        <v>545</v>
      </c>
      <c r="S36" s="0" t="n">
        <v>72</v>
      </c>
      <c r="T36" s="0" t="n">
        <v>91.8</v>
      </c>
      <c r="U36" s="0" t="n">
        <v>53.8</v>
      </c>
      <c r="V36" s="0" t="n">
        <v>15.8</v>
      </c>
      <c r="W36" s="0" t="n">
        <v>-10.2</v>
      </c>
      <c r="X36" s="93" t="s">
        <v>734</v>
      </c>
    </row>
    <row r="37" customFormat="false" ht="15" hidden="false" customHeight="false" outlineLevel="0" collapsed="false">
      <c r="A37" s="80" t="str">
        <f aca="false">IF(UNIT_SYSTEM="SI",IF(J37="","",J37),IF(R37="","",R37))</f>
        <v>LOW_ALLOY_STEEL</v>
      </c>
      <c r="B37" s="94" t="n">
        <f aca="false">IF(UNIT_SYSTEM="SI",IF(K37="","",K37),IF(S37="","",S37))</f>
        <v>500</v>
      </c>
      <c r="C37" s="94" t="n">
        <f aca="false">IF(UNIT_SYSTEM="SI",IF(L37="","",L37),IF(T37="","",T37))</f>
        <v>33.1</v>
      </c>
      <c r="D37" s="94" t="n">
        <f aca="false">IF(UNIT_SYSTEM="SI",IF(M37="","",M37),IF(U37="","",U37))</f>
        <v>11.9</v>
      </c>
      <c r="E37" s="94" t="n">
        <f aca="false">IF(UNIT_SYSTEM="SI",IF(N37="","",N37),IF(V37="","",V37))</f>
        <v>-9.2</v>
      </c>
      <c r="F37" s="94" t="n">
        <f aca="false">IF(UNIT_SYSTEM="SI",IF(O37="","",O37),IF(W37="","",W37))</f>
        <v>-23.6</v>
      </c>
      <c r="G37" s="94" t="str">
        <f aca="false">IF(UNIT_SYSTEM="SI",IF(P37="","",P37),IF(X37="","",X37))</f>
        <v>27 J (20 ft-lb)</v>
      </c>
      <c r="J37" s="93" t="s">
        <v>545</v>
      </c>
      <c r="K37" s="0" t="n">
        <v>500</v>
      </c>
      <c r="L37" s="0" t="n">
        <v>33.1</v>
      </c>
      <c r="M37" s="0" t="n">
        <v>11.9</v>
      </c>
      <c r="N37" s="0" t="n">
        <v>-9.2</v>
      </c>
      <c r="O37" s="0" t="n">
        <v>-23.6</v>
      </c>
      <c r="P37" s="93" t="s">
        <v>734</v>
      </c>
      <c r="R37" s="93" t="s">
        <v>545</v>
      </c>
      <c r="S37" s="0" t="n">
        <v>74</v>
      </c>
      <c r="T37" s="0" t="n">
        <v>91.5</v>
      </c>
      <c r="U37" s="0" t="n">
        <v>53.5</v>
      </c>
      <c r="V37" s="0" t="n">
        <v>15.5</v>
      </c>
      <c r="W37" s="0" t="n">
        <v>-10.5</v>
      </c>
      <c r="X37" s="93" t="s">
        <v>734</v>
      </c>
    </row>
    <row r="38" customFormat="false" ht="15" hidden="false" customHeight="false" outlineLevel="0" collapsed="false">
      <c r="A38" s="72" t="str">
        <f aca="false">IF(UNIT_SYSTEM="SI",IF(J38="","",J38),IF(R38="","",R38))</f>
        <v>LOW_ALLOY_STEEL</v>
      </c>
      <c r="B38" s="92" t="n">
        <f aca="false">IF(UNIT_SYSTEM="SI",IF(K38="","",K38),IF(S38="","",S38))</f>
        <v>520</v>
      </c>
      <c r="C38" s="92" t="n">
        <f aca="false">IF(UNIT_SYSTEM="SI",IF(L38="","",L38),IF(T38="","",T38))</f>
        <v>32.9</v>
      </c>
      <c r="D38" s="92" t="n">
        <f aca="false">IF(UNIT_SYSTEM="SI",IF(M38="","",M38),IF(U38="","",U38))</f>
        <v>11.7</v>
      </c>
      <c r="E38" s="92" t="n">
        <f aca="false">IF(UNIT_SYSTEM="SI",IF(N38="","",N38),IF(V38="","",V38))</f>
        <v>-9.4</v>
      </c>
      <c r="F38" s="92" t="n">
        <f aca="false">IF(UNIT_SYSTEM="SI",IF(O38="","",O38),IF(W38="","",W38))</f>
        <v>-23.8</v>
      </c>
      <c r="G38" s="92" t="str">
        <f aca="false">IF(UNIT_SYSTEM="SI",IF(P38="","",P38),IF(X38="","",X38))</f>
        <v>27 J (20 ft-lb)</v>
      </c>
      <c r="J38" s="93" t="s">
        <v>545</v>
      </c>
      <c r="K38" s="0" t="n">
        <v>520</v>
      </c>
      <c r="L38" s="0" t="n">
        <v>32.9</v>
      </c>
      <c r="M38" s="0" t="n">
        <v>11.7</v>
      </c>
      <c r="N38" s="0" t="n">
        <v>-9.4</v>
      </c>
      <c r="O38" s="0" t="n">
        <v>-23.8</v>
      </c>
      <c r="P38" s="93" t="s">
        <v>734</v>
      </c>
      <c r="R38" s="93" t="s">
        <v>545</v>
      </c>
      <c r="S38" s="0" t="n">
        <v>76</v>
      </c>
      <c r="T38" s="0" t="n">
        <v>91.2</v>
      </c>
      <c r="U38" s="0" t="n">
        <v>53.2</v>
      </c>
      <c r="V38" s="0" t="n">
        <v>15.2</v>
      </c>
      <c r="W38" s="0" t="n">
        <v>-10.8</v>
      </c>
      <c r="X38" s="93" t="s">
        <v>734</v>
      </c>
    </row>
    <row r="39" customFormat="false" ht="15" hidden="false" customHeight="false" outlineLevel="0" collapsed="false">
      <c r="A39" s="80" t="str">
        <f aca="false">IF(UNIT_SYSTEM="SI",IF(J39="","",J39),IF(R39="","",R39))</f>
        <v>LOW_ALLOY_STEEL</v>
      </c>
      <c r="B39" s="94" t="n">
        <f aca="false">IF(UNIT_SYSTEM="SI",IF(K39="","",K39),IF(S39="","",S39))</f>
        <v>540</v>
      </c>
      <c r="C39" s="94" t="n">
        <f aca="false">IF(UNIT_SYSTEM="SI",IF(L39="","",L39),IF(T39="","",T39))</f>
        <v>32.7</v>
      </c>
      <c r="D39" s="94" t="n">
        <f aca="false">IF(UNIT_SYSTEM="SI",IF(M39="","",M39),IF(U39="","",U39))</f>
        <v>11.5</v>
      </c>
      <c r="E39" s="94" t="n">
        <f aca="false">IF(UNIT_SYSTEM="SI",IF(N39="","",N39),IF(V39="","",V39))</f>
        <v>-9.6</v>
      </c>
      <c r="F39" s="94" t="n">
        <f aca="false">IF(UNIT_SYSTEM="SI",IF(O39="","",O39),IF(W39="","",W39))</f>
        <v>-24</v>
      </c>
      <c r="G39" s="94" t="str">
        <f aca="false">IF(UNIT_SYSTEM="SI",IF(P39="","",P39),IF(X39="","",X39))</f>
        <v>27 J (20 ft-lb)</v>
      </c>
      <c r="J39" s="93" t="s">
        <v>545</v>
      </c>
      <c r="K39" s="0" t="n">
        <v>540</v>
      </c>
      <c r="L39" s="0" t="n">
        <v>32.7</v>
      </c>
      <c r="M39" s="0" t="n">
        <v>11.5</v>
      </c>
      <c r="N39" s="0" t="n">
        <v>-9.6</v>
      </c>
      <c r="O39" s="0" t="n">
        <v>-24</v>
      </c>
      <c r="P39" s="93" t="s">
        <v>734</v>
      </c>
      <c r="R39" s="93" t="s">
        <v>545</v>
      </c>
      <c r="S39" s="0" t="n">
        <v>78</v>
      </c>
      <c r="T39" s="0" t="n">
        <v>91</v>
      </c>
      <c r="U39" s="0" t="n">
        <v>53</v>
      </c>
      <c r="V39" s="0" t="n">
        <v>15</v>
      </c>
      <c r="W39" s="0" t="n">
        <v>-11</v>
      </c>
      <c r="X39" s="93" t="s">
        <v>734</v>
      </c>
    </row>
    <row r="40" customFormat="false" ht="15" hidden="false" customHeight="false" outlineLevel="0" collapsed="false">
      <c r="A40" s="72" t="str">
        <f aca="false">IF(UNIT_SYSTEM="SI",IF(J40="","",J40),IF(R40="","",R40))</f>
        <v>LOW_ALLOY_STEEL</v>
      </c>
      <c r="B40" s="92" t="n">
        <f aca="false">IF(UNIT_SYSTEM="SI",IF(K40="","",K40),IF(S40="","",S40))</f>
        <v>560</v>
      </c>
      <c r="C40" s="92" t="n">
        <f aca="false">IF(UNIT_SYSTEM="SI",IF(L40="","",L40),IF(T40="","",T40))</f>
        <v>32.4</v>
      </c>
      <c r="D40" s="92" t="n">
        <f aca="false">IF(UNIT_SYSTEM="SI",IF(M40="","",M40),IF(U40="","",U40))</f>
        <v>11.2</v>
      </c>
      <c r="E40" s="92" t="n">
        <f aca="false">IF(UNIT_SYSTEM="SI",IF(N40="","",N40),IF(V40="","",V40))</f>
        <v>-9.8</v>
      </c>
      <c r="F40" s="92" t="n">
        <f aca="false">IF(UNIT_SYSTEM="SI",IF(O40="","",O40),IF(W40="","",W40))</f>
        <v>-24.3</v>
      </c>
      <c r="G40" s="92" t="str">
        <f aca="false">IF(UNIT_SYSTEM="SI",IF(P40="","",P40),IF(X40="","",X40))</f>
        <v>27 J (20 ft-lb)</v>
      </c>
      <c r="J40" s="93" t="s">
        <v>545</v>
      </c>
      <c r="K40" s="0" t="n">
        <v>560</v>
      </c>
      <c r="L40" s="0" t="n">
        <v>32.4</v>
      </c>
      <c r="M40" s="0" t="n">
        <v>11.2</v>
      </c>
      <c r="N40" s="0" t="n">
        <v>-9.8</v>
      </c>
      <c r="O40" s="0" t="n">
        <v>-24.3</v>
      </c>
      <c r="P40" s="93" t="s">
        <v>734</v>
      </c>
      <c r="R40" s="93" t="s">
        <v>545</v>
      </c>
      <c r="S40" s="0" t="n">
        <v>80</v>
      </c>
      <c r="T40" s="0" t="n">
        <v>90.7</v>
      </c>
      <c r="U40" s="0" t="n">
        <v>52.7</v>
      </c>
      <c r="V40" s="0" t="n">
        <v>14.7</v>
      </c>
      <c r="W40" s="0" t="n">
        <v>-11.3</v>
      </c>
      <c r="X40" s="93" t="s">
        <v>734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N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6" min="3" style="0" width="26"/>
    <col collapsed="false" customWidth="true" hidden="true" outlineLevel="0" max="7" min="7" style="0" width="26"/>
    <col collapsed="false" customWidth="true" hidden="true" outlineLevel="0" max="8" min="8" style="0" width="29"/>
    <col collapsed="false" customWidth="true" hidden="true" outlineLevel="0" max="9" min="9" style="0" width="27"/>
    <col collapsed="false" customWidth="true" hidden="true" outlineLevel="0" max="10" min="10" style="0" width="30"/>
    <col collapsed="false" customWidth="true" hidden="true" outlineLevel="0" max="12" min="11" style="0" width="26"/>
    <col collapsed="false" customWidth="true" hidden="true" outlineLevel="0" max="14" min="13" style="0" width="27"/>
  </cols>
  <sheetData>
    <row r="1" customFormat="false" ht="30" hidden="false" customHeight="true" outlineLevel="0" collapsed="false">
      <c r="A1" s="70" t="s">
        <v>442</v>
      </c>
      <c r="B1" s="70" t="s">
        <v>735</v>
      </c>
      <c r="C1" s="70" t="str">
        <f aca="false">IF(UNIT_SYSTEM="SI","Jc mean (kJ/m²)","Jc mean (in-lb/in²)")</f>
        <v>Jc mean (kJ/m²)</v>
      </c>
      <c r="D1" s="70" t="str">
        <f aca="false">IF(UNIT_SYSTEM="SI","Jc lower 90/95 (kJ/m²)","Jc lower 90/95 (in-lb/in²)")</f>
        <v>Jc lower 90/95 (kJ/m²)</v>
      </c>
      <c r="E1" s="70" t="str">
        <f aca="false">IF(UNIT_SYSTEM="SI","dJ/da mean (MPa)","dJ/da mean (ksi)")</f>
        <v>dJ/da mean (MPa)</v>
      </c>
      <c r="F1" s="70" t="str">
        <f aca="false">IF(UNIT_SYSTEM="SI","dJ/da lower (MPa)","dJ/da lower (ksi)")</f>
        <v>dJ/da lower (MPa)</v>
      </c>
      <c r="G1" s="71" t="s">
        <v>736</v>
      </c>
      <c r="H1" s="71" t="s">
        <v>737</v>
      </c>
      <c r="I1" s="71" t="s">
        <v>738</v>
      </c>
      <c r="J1" s="71" t="s">
        <v>739</v>
      </c>
      <c r="K1" s="71" t="s">
        <v>740</v>
      </c>
      <c r="L1" s="71" t="s">
        <v>741</v>
      </c>
      <c r="M1" s="71" t="s">
        <v>742</v>
      </c>
      <c r="N1" s="71" t="s">
        <v>743</v>
      </c>
    </row>
    <row r="2" customFormat="false" ht="15" hidden="false" customHeight="false" outlineLevel="0" collapsed="false">
      <c r="A2" s="72" t="s">
        <v>164</v>
      </c>
      <c r="B2" s="72" t="str">
        <f aca="false">IF(UNIT_SYSTEM="SI","0-125 °C","32-257 °F")</f>
        <v>0-125 °C</v>
      </c>
      <c r="C2" s="73" t="n">
        <f aca="false">IF(UNIT_SYSTEM="SI",IF(G2="","",G2),IF(H2="","",H2))</f>
        <v>672</v>
      </c>
      <c r="D2" s="73" t="n">
        <f aca="false">IF(UNIT_SYSTEM="SI",IF(I2="","",I2),IF(J2="","",J2))</f>
        <v>215</v>
      </c>
      <c r="E2" s="73" t="n">
        <f aca="false">IF(UNIT_SYSTEM="SI",IF(K2="","",K2),IF(L2="","",L2))</f>
        <v>292</v>
      </c>
      <c r="F2" s="75" t="n">
        <f aca="false">IF(UNIT_SYSTEM="SI",IF(M2="","",M2),IF(N2="","",N2))</f>
        <v>59</v>
      </c>
      <c r="G2" s="76" t="n">
        <v>672</v>
      </c>
      <c r="H2" s="76" t="n">
        <v>3840</v>
      </c>
      <c r="I2" s="76" t="n">
        <v>215</v>
      </c>
      <c r="J2" s="76" t="n">
        <v>1224</v>
      </c>
      <c r="K2" s="76" t="n">
        <v>292</v>
      </c>
      <c r="L2" s="77" t="n">
        <v>508.8</v>
      </c>
      <c r="M2" s="77" t="n">
        <v>59</v>
      </c>
      <c r="N2" s="76" t="n">
        <v>102</v>
      </c>
    </row>
    <row r="3" customFormat="false" ht="15" hidden="false" customHeight="false" outlineLevel="0" collapsed="false">
      <c r="A3" s="80" t="s">
        <v>744</v>
      </c>
      <c r="B3" s="80" t="str">
        <f aca="false">IF(UNIT_SYSTEM="SI","0-125 °C","32-257 °F")</f>
        <v>0-125 °C</v>
      </c>
      <c r="C3" s="81" t="n">
        <f aca="false">IF(UNIT_SYSTEM="SI",IF(G3="","",G3),IF(H3="","",H3))</f>
        <v>492</v>
      </c>
      <c r="D3" s="81" t="n">
        <f aca="false">IF(UNIT_SYSTEM="SI",IF(I3="","",I3),IF(J3="","",J3))</f>
        <v>192</v>
      </c>
      <c r="E3" s="81" t="n">
        <f aca="false">IF(UNIT_SYSTEM="SI",IF(K3="","",K3),IF(L3="","",L3))</f>
        <v>390</v>
      </c>
      <c r="F3" s="81" t="n">
        <f aca="false">IF(UNIT_SYSTEM="SI",IF(M3="","",M3),IF(N3="","",N3))</f>
        <v>139</v>
      </c>
      <c r="G3" s="82" t="n">
        <v>492</v>
      </c>
      <c r="H3" s="82" t="n">
        <v>2808</v>
      </c>
      <c r="I3" s="82" t="n">
        <v>192</v>
      </c>
      <c r="J3" s="84" t="n">
        <v>1096.8</v>
      </c>
      <c r="K3" s="82" t="n">
        <v>390</v>
      </c>
      <c r="L3" s="83" t="n">
        <v>679.2</v>
      </c>
      <c r="M3" s="82" t="n">
        <v>139</v>
      </c>
      <c r="N3" s="83" t="n">
        <v>241.2</v>
      </c>
    </row>
    <row r="4" customFormat="false" ht="15" hidden="false" customHeight="false" outlineLevel="0" collapsed="false">
      <c r="A4" s="72" t="s">
        <v>745</v>
      </c>
      <c r="B4" s="72" t="str">
        <f aca="false">IF(UNIT_SYSTEM="SI","0-125 °C","32-257 °F")</f>
        <v>0-125 °C</v>
      </c>
      <c r="C4" s="73" t="n">
        <f aca="false">IF(UNIT_SYSTEM="SI",IF(G4="","",G4),IF(H4="","",H4))</f>
        <v>147</v>
      </c>
      <c r="D4" s="75" t="n">
        <f aca="false">IF(UNIT_SYSTEM="SI",IF(I4="","",I4),IF(J4="","",J4))</f>
        <v>67</v>
      </c>
      <c r="E4" s="73" t="n">
        <f aca="false">IF(UNIT_SYSTEM="SI",IF(K4="","",K4),IF(L4="","",L4))</f>
        <v>150</v>
      </c>
      <c r="F4" s="75" t="n">
        <f aca="false">IF(UNIT_SYSTEM="SI",IF(M4="","",M4),IF(N4="","",N4))</f>
        <v>72</v>
      </c>
      <c r="G4" s="76" t="n">
        <v>147</v>
      </c>
      <c r="H4" s="77" t="n">
        <v>838.8</v>
      </c>
      <c r="I4" s="77" t="n">
        <v>67</v>
      </c>
      <c r="J4" s="76" t="n">
        <v>384</v>
      </c>
      <c r="K4" s="76" t="n">
        <v>150</v>
      </c>
      <c r="L4" s="77" t="n">
        <v>261.6</v>
      </c>
      <c r="M4" s="77" t="n">
        <v>72</v>
      </c>
      <c r="N4" s="76" t="n">
        <v>120</v>
      </c>
    </row>
    <row r="5" customFormat="false" ht="15" hidden="false" customHeight="false" outlineLevel="0" collapsed="false">
      <c r="A5" s="80" t="s">
        <v>164</v>
      </c>
      <c r="B5" s="80" t="str">
        <f aca="false">IF(UNIT_SYSTEM="SI","400-550 °C","752-1022 °F")</f>
        <v>400-550 °C</v>
      </c>
      <c r="C5" s="81" t="n">
        <f aca="false">IF(UNIT_SYSTEM="SI",IF(G5="","",G5),IF(H5="","",H5))</f>
        <v>421</v>
      </c>
      <c r="D5" s="89" t="n">
        <f aca="false">IF(UNIT_SYSTEM="SI",IF(I5="","",I5),IF(J5="","",J5))</f>
        <v>96</v>
      </c>
      <c r="E5" s="81" t="n">
        <f aca="false">IF(UNIT_SYSTEM="SI",IF(K5="","",K5),IF(L5="","",L5))</f>
        <v>263</v>
      </c>
      <c r="F5" s="89" t="n">
        <f aca="false">IF(UNIT_SYSTEM="SI",IF(M5="","",M5),IF(N5="","",N5))</f>
        <v>79</v>
      </c>
      <c r="G5" s="82" t="n">
        <v>421</v>
      </c>
      <c r="H5" s="82" t="n">
        <v>2400</v>
      </c>
      <c r="I5" s="83" t="n">
        <v>96</v>
      </c>
      <c r="J5" s="82" t="n">
        <v>552</v>
      </c>
      <c r="K5" s="82" t="n">
        <v>263</v>
      </c>
      <c r="L5" s="83" t="n">
        <v>457.2</v>
      </c>
      <c r="M5" s="83" t="n">
        <v>79</v>
      </c>
      <c r="N5" s="82" t="n">
        <v>132</v>
      </c>
    </row>
    <row r="6" customFormat="false" ht="15" hidden="false" customHeight="false" outlineLevel="0" collapsed="false">
      <c r="A6" s="72" t="s">
        <v>744</v>
      </c>
      <c r="B6" s="72" t="str">
        <f aca="false">IF(UNIT_SYSTEM="SI","400-550 °C","752-1022 °F")</f>
        <v>400-550 °C</v>
      </c>
      <c r="C6" s="73" t="n">
        <f aca="false">IF(UNIT_SYSTEM="SI",IF(G6="","",G6),IF(H6="","",H6))</f>
        <v>293</v>
      </c>
      <c r="D6" s="73" t="n">
        <f aca="false">IF(UNIT_SYSTEM="SI",IF(I6="","",I6),IF(J6="","",J6))</f>
        <v>180</v>
      </c>
      <c r="E6" s="73" t="n">
        <f aca="false">IF(UNIT_SYSTEM="SI",IF(K6="","",K6),IF(L6="","",L6))</f>
        <v>307</v>
      </c>
      <c r="F6" s="73" t="n">
        <f aca="false">IF(UNIT_SYSTEM="SI",IF(M6="","",M6),IF(N6="","",N6))</f>
        <v>107</v>
      </c>
      <c r="G6" s="76" t="n">
        <v>293</v>
      </c>
      <c r="H6" s="76" t="n">
        <v>1668</v>
      </c>
      <c r="I6" s="76" t="n">
        <v>180</v>
      </c>
      <c r="J6" s="78" t="n">
        <v>1028.4</v>
      </c>
      <c r="K6" s="76" t="n">
        <v>307</v>
      </c>
      <c r="L6" s="76" t="n">
        <v>534</v>
      </c>
      <c r="M6" s="76" t="n">
        <v>107</v>
      </c>
      <c r="N6" s="76" t="n">
        <v>186</v>
      </c>
    </row>
    <row r="8" customFormat="false" ht="15" hidden="false" customHeight="false" outlineLevel="0" collapsed="false">
      <c r="A8" s="87" t="s">
        <v>746</v>
      </c>
    </row>
  </sheetData>
  <autoFilter ref="A1:N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T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12"/>
  </cols>
  <sheetData>
    <row r="1" customFormat="false" ht="30" hidden="false" customHeight="true" outlineLevel="0" collapsed="false">
      <c r="A1" s="70" t="s">
        <v>747</v>
      </c>
      <c r="B1" s="70" t="s">
        <v>748</v>
      </c>
      <c r="C1" s="70" t="s">
        <v>749</v>
      </c>
      <c r="D1" s="70" t="s">
        <v>750</v>
      </c>
      <c r="E1" s="70" t="s">
        <v>751</v>
      </c>
      <c r="F1" s="70" t="s">
        <v>752</v>
      </c>
      <c r="G1" s="70" t="s">
        <v>753</v>
      </c>
      <c r="H1" s="70" t="s">
        <v>754</v>
      </c>
      <c r="I1" s="70" t="s">
        <v>755</v>
      </c>
      <c r="J1" s="70" t="s">
        <v>756</v>
      </c>
      <c r="K1" s="70" t="s">
        <v>757</v>
      </c>
      <c r="L1" s="70" t="s">
        <v>758</v>
      </c>
      <c r="M1" s="70" t="s">
        <v>759</v>
      </c>
      <c r="N1" s="70" t="s">
        <v>760</v>
      </c>
      <c r="O1" s="70" t="s">
        <v>761</v>
      </c>
      <c r="P1" s="70" t="s">
        <v>762</v>
      </c>
      <c r="Q1" s="70" t="s">
        <v>763</v>
      </c>
      <c r="R1" s="70" t="s">
        <v>764</v>
      </c>
      <c r="S1" s="70" t="s">
        <v>765</v>
      </c>
      <c r="T1" s="70" t="s">
        <v>766</v>
      </c>
    </row>
    <row r="2" customFormat="false" ht="15" hidden="false" customHeight="false" outlineLevel="0" collapsed="false">
      <c r="A2" s="75" t="n">
        <v>0</v>
      </c>
      <c r="B2" s="75" t="n">
        <v>1</v>
      </c>
      <c r="C2" s="75" t="n">
        <v>1</v>
      </c>
      <c r="D2" s="75" t="n">
        <v>1</v>
      </c>
      <c r="E2" s="75" t="n">
        <v>1</v>
      </c>
      <c r="F2" s="75" t="n">
        <v>1</v>
      </c>
      <c r="G2" s="75" t="n">
        <v>1</v>
      </c>
      <c r="H2" s="75" t="n">
        <v>1</v>
      </c>
      <c r="I2" s="75" t="n">
        <v>1</v>
      </c>
      <c r="J2" s="75" t="n">
        <v>1</v>
      </c>
      <c r="K2" s="75" t="n">
        <v>1</v>
      </c>
      <c r="L2" s="75" t="n">
        <v>1</v>
      </c>
      <c r="M2" s="75" t="n">
        <v>1</v>
      </c>
      <c r="N2" s="75" t="n">
        <v>1</v>
      </c>
      <c r="O2" s="75" t="n">
        <v>1</v>
      </c>
      <c r="P2" s="75" t="n">
        <v>1</v>
      </c>
      <c r="Q2" s="75" t="n">
        <v>1</v>
      </c>
      <c r="R2" s="75" t="n">
        <v>1</v>
      </c>
      <c r="S2" s="75" t="n">
        <v>1</v>
      </c>
      <c r="T2" s="75" t="n">
        <v>1</v>
      </c>
    </row>
    <row r="3" customFormat="false" ht="15" hidden="false" customHeight="false" outlineLevel="0" collapsed="false">
      <c r="A3" s="89" t="n">
        <v>0.01</v>
      </c>
      <c r="B3" s="89" t="n">
        <v>1</v>
      </c>
      <c r="C3" s="89" t="n">
        <v>1</v>
      </c>
      <c r="D3" s="89" t="n">
        <v>1</v>
      </c>
      <c r="E3" s="89" t="n">
        <v>1</v>
      </c>
      <c r="F3" s="89" t="n">
        <v>1</v>
      </c>
      <c r="G3" s="89" t="n">
        <v>1</v>
      </c>
      <c r="H3" s="89" t="n">
        <v>1.001</v>
      </c>
      <c r="I3" s="89" t="n">
        <v>1.001</v>
      </c>
      <c r="J3" s="89" t="n">
        <v>1.002</v>
      </c>
      <c r="K3" s="89" t="n">
        <v>1.003</v>
      </c>
      <c r="L3" s="89" t="n">
        <v>1.011</v>
      </c>
      <c r="M3" s="89" t="n">
        <v>1.019</v>
      </c>
      <c r="N3" s="89" t="n">
        <v>1.023</v>
      </c>
      <c r="O3" s="89" t="n">
        <v>1.026</v>
      </c>
      <c r="P3" s="89" t="n">
        <v>1.028</v>
      </c>
      <c r="Q3" s="89" t="n">
        <v>1.029</v>
      </c>
      <c r="R3" s="89" t="n">
        <v>1.03</v>
      </c>
      <c r="S3" s="89" t="n">
        <v>1.031</v>
      </c>
      <c r="T3" s="89" t="n">
        <v>1.032</v>
      </c>
    </row>
    <row r="4" customFormat="false" ht="15" hidden="false" customHeight="false" outlineLevel="0" collapsed="false">
      <c r="A4" s="75" t="n">
        <v>0.02</v>
      </c>
      <c r="B4" s="75" t="n">
        <v>1</v>
      </c>
      <c r="C4" s="75" t="n">
        <v>1</v>
      </c>
      <c r="D4" s="75" t="n">
        <v>1</v>
      </c>
      <c r="E4" s="75" t="n">
        <v>1.001</v>
      </c>
      <c r="F4" s="75" t="n">
        <v>1.001</v>
      </c>
      <c r="G4" s="75" t="n">
        <v>1.001</v>
      </c>
      <c r="H4" s="75" t="n">
        <v>1.002</v>
      </c>
      <c r="I4" s="75" t="n">
        <v>1.003</v>
      </c>
      <c r="J4" s="75" t="n">
        <v>1.004</v>
      </c>
      <c r="K4" s="75" t="n">
        <v>1.006</v>
      </c>
      <c r="L4" s="75" t="n">
        <v>1.019</v>
      </c>
      <c r="M4" s="75" t="n">
        <v>1.031</v>
      </c>
      <c r="N4" s="75" t="n">
        <v>1.038</v>
      </c>
      <c r="O4" s="75" t="n">
        <v>1.042</v>
      </c>
      <c r="P4" s="75" t="n">
        <v>1.044</v>
      </c>
      <c r="Q4" s="75" t="n">
        <v>1.046</v>
      </c>
      <c r="R4" s="75" t="n">
        <v>1.048</v>
      </c>
      <c r="S4" s="75" t="n">
        <v>1.051</v>
      </c>
      <c r="T4" s="75" t="n">
        <v>1.047</v>
      </c>
    </row>
    <row r="5" customFormat="false" ht="15" hidden="false" customHeight="false" outlineLevel="0" collapsed="false">
      <c r="A5" s="89" t="n">
        <v>0.03</v>
      </c>
      <c r="B5" s="89" t="n">
        <v>1</v>
      </c>
      <c r="C5" s="89" t="n">
        <v>1.001</v>
      </c>
      <c r="D5" s="89" t="n">
        <v>1.001</v>
      </c>
      <c r="E5" s="89" t="n">
        <v>1.001</v>
      </c>
      <c r="F5" s="89" t="n">
        <v>1.001</v>
      </c>
      <c r="G5" s="89" t="n">
        <v>1.002</v>
      </c>
      <c r="H5" s="89" t="n">
        <v>1.003</v>
      </c>
      <c r="I5" s="89" t="n">
        <v>1.004</v>
      </c>
      <c r="J5" s="89" t="n">
        <v>1.006</v>
      </c>
      <c r="K5" s="89" t="n">
        <v>1.008</v>
      </c>
      <c r="L5" s="89" t="n">
        <v>1.026</v>
      </c>
      <c r="M5" s="89" t="n">
        <v>1.04</v>
      </c>
      <c r="N5" s="89" t="n">
        <v>1.048</v>
      </c>
      <c r="O5" s="89" t="n">
        <v>1.053</v>
      </c>
      <c r="P5" s="89" t="n">
        <v>1.056</v>
      </c>
      <c r="Q5" s="89" t="n">
        <v>1.059</v>
      </c>
      <c r="R5" s="89" t="n">
        <v>1.06</v>
      </c>
      <c r="S5" s="89" t="n">
        <v>1.061</v>
      </c>
      <c r="T5" s="89" t="n">
        <v>1.062</v>
      </c>
    </row>
    <row r="6" customFormat="false" ht="15" hidden="false" customHeight="false" outlineLevel="0" collapsed="false">
      <c r="A6" s="75" t="n">
        <v>0.04</v>
      </c>
      <c r="B6" s="75" t="n">
        <v>1</v>
      </c>
      <c r="C6" s="75" t="n">
        <v>1.001</v>
      </c>
      <c r="D6" s="75" t="n">
        <v>1.001</v>
      </c>
      <c r="E6" s="75" t="n">
        <v>1.001</v>
      </c>
      <c r="F6" s="75" t="n">
        <v>1.002</v>
      </c>
      <c r="G6" s="75" t="n">
        <v>1.002</v>
      </c>
      <c r="H6" s="75" t="n">
        <v>1.004</v>
      </c>
      <c r="I6" s="75" t="n">
        <v>1.006</v>
      </c>
      <c r="J6" s="75" t="n">
        <v>1.008</v>
      </c>
      <c r="K6" s="75" t="n">
        <v>1.011</v>
      </c>
      <c r="L6" s="75" t="n">
        <v>1.031</v>
      </c>
      <c r="M6" s="75" t="n">
        <v>1.047</v>
      </c>
      <c r="N6" s="75" t="n">
        <v>1.056</v>
      </c>
      <c r="O6" s="75" t="n">
        <v>1.061</v>
      </c>
      <c r="P6" s="75" t="n">
        <v>1.065</v>
      </c>
      <c r="Q6" s="75" t="n">
        <v>1.068</v>
      </c>
      <c r="R6" s="75" t="n">
        <v>1.071</v>
      </c>
      <c r="S6" s="75" t="n">
        <v>1.076</v>
      </c>
      <c r="T6" s="75" t="n">
        <v>1.081</v>
      </c>
    </row>
    <row r="7" customFormat="false" ht="15" hidden="false" customHeight="false" outlineLevel="0" collapsed="false">
      <c r="A7" s="89" t="n">
        <v>0.06</v>
      </c>
      <c r="B7" s="89" t="n">
        <v>1</v>
      </c>
      <c r="C7" s="89" t="n">
        <v>1.002</v>
      </c>
      <c r="D7" s="89" t="n">
        <v>1.002</v>
      </c>
      <c r="E7" s="89" t="n">
        <v>1.003</v>
      </c>
      <c r="F7" s="89" t="n">
        <v>1.003</v>
      </c>
      <c r="G7" s="89" t="n">
        <v>1.004</v>
      </c>
      <c r="H7" s="89" t="n">
        <v>1.006</v>
      </c>
      <c r="I7" s="89" t="n">
        <v>1.009</v>
      </c>
      <c r="J7" s="89" t="n">
        <v>1.012</v>
      </c>
      <c r="K7" s="89" t="n">
        <v>1.016</v>
      </c>
      <c r="L7" s="89" t="n">
        <v>1.039</v>
      </c>
      <c r="M7" s="89" t="n">
        <v>1.058</v>
      </c>
      <c r="N7" s="89" t="n">
        <v>1.068</v>
      </c>
      <c r="O7" s="89" t="n">
        <v>1.074</v>
      </c>
      <c r="P7" s="89" t="n">
        <v>1.078</v>
      </c>
      <c r="Q7" s="89" t="n">
        <v>1.083</v>
      </c>
      <c r="R7" s="89" t="n">
        <v>1.087</v>
      </c>
      <c r="S7" s="89" t="n">
        <v>1.092</v>
      </c>
      <c r="T7" s="89" t="n">
        <v>1.099</v>
      </c>
    </row>
    <row r="8" customFormat="false" ht="15" hidden="false" customHeight="false" outlineLevel="0" collapsed="false">
      <c r="A8" s="75" t="n">
        <v>0.08</v>
      </c>
      <c r="B8" s="75" t="n">
        <v>1</v>
      </c>
      <c r="C8" s="75" t="n">
        <v>1.002</v>
      </c>
      <c r="D8" s="75" t="n">
        <v>1.003</v>
      </c>
      <c r="E8" s="75" t="n">
        <v>1.004</v>
      </c>
      <c r="F8" s="75" t="n">
        <v>1.004</v>
      </c>
      <c r="G8" s="75" t="n">
        <v>1.005</v>
      </c>
      <c r="H8" s="75" t="n">
        <v>1.008</v>
      </c>
      <c r="I8" s="75" t="n">
        <v>1.012</v>
      </c>
      <c r="J8" s="75" t="n">
        <v>1.016</v>
      </c>
      <c r="K8" s="75" t="n">
        <v>1.02</v>
      </c>
      <c r="L8" s="75" t="n">
        <v>1.045</v>
      </c>
      <c r="M8" s="75" t="n">
        <v>1.066</v>
      </c>
      <c r="N8" s="75" t="n">
        <v>1.077</v>
      </c>
      <c r="O8" s="75" t="n">
        <v>1.084</v>
      </c>
      <c r="P8" s="75" t="n">
        <v>1.088</v>
      </c>
      <c r="Q8" s="75" t="n">
        <v>1.093</v>
      </c>
      <c r="R8" s="75" t="n">
        <v>1.098</v>
      </c>
      <c r="S8" s="75" t="n">
        <v>1.103</v>
      </c>
      <c r="T8" s="75" t="n">
        <v>1.112</v>
      </c>
    </row>
    <row r="9" customFormat="false" ht="15" hidden="false" customHeight="false" outlineLevel="0" collapsed="false">
      <c r="A9" s="89" t="n">
        <v>0.1</v>
      </c>
      <c r="B9" s="89" t="n">
        <v>1</v>
      </c>
      <c r="C9" s="89" t="n">
        <v>1.004</v>
      </c>
      <c r="D9" s="89" t="n">
        <v>1.004</v>
      </c>
      <c r="E9" s="89" t="n">
        <v>1.005</v>
      </c>
      <c r="F9" s="89" t="n">
        <v>1.006</v>
      </c>
      <c r="G9" s="89" t="n">
        <v>1.007</v>
      </c>
      <c r="H9" s="89" t="n">
        <v>1.011</v>
      </c>
      <c r="I9" s="89" t="n">
        <v>1.015</v>
      </c>
      <c r="J9" s="89" t="n">
        <v>1.02</v>
      </c>
      <c r="K9" s="89" t="n">
        <v>1.024</v>
      </c>
      <c r="L9" s="89" t="n">
        <v>1.05</v>
      </c>
      <c r="M9" s="89" t="n">
        <v>1.072</v>
      </c>
      <c r="N9" s="89" t="n">
        <v>1.084</v>
      </c>
      <c r="O9" s="89" t="n">
        <v>1.092</v>
      </c>
      <c r="P9" s="89" t="n">
        <v>1.097</v>
      </c>
      <c r="Q9" s="89" t="n">
        <v>1.102</v>
      </c>
      <c r="R9" s="89" t="n">
        <v>1.108</v>
      </c>
      <c r="S9" s="89" t="n">
        <v>1.114</v>
      </c>
      <c r="T9" s="89" t="n">
        <v>1.122</v>
      </c>
    </row>
    <row r="10" customFormat="false" ht="15" hidden="false" customHeight="false" outlineLevel="0" collapsed="false">
      <c r="A10" s="75" t="n">
        <v>0.12</v>
      </c>
      <c r="B10" s="75" t="n">
        <v>1</v>
      </c>
      <c r="C10" s="75" t="n">
        <v>1.005</v>
      </c>
      <c r="D10" s="75" t="n">
        <v>1.006</v>
      </c>
      <c r="E10" s="75" t="n">
        <v>1.007</v>
      </c>
      <c r="F10" s="75" t="n">
        <v>1.008</v>
      </c>
      <c r="G10" s="75" t="n">
        <v>1.009</v>
      </c>
      <c r="H10" s="75" t="n">
        <v>1.013</v>
      </c>
      <c r="I10" s="75" t="n">
        <v>1.018</v>
      </c>
      <c r="J10" s="75" t="n">
        <v>1.023</v>
      </c>
      <c r="K10" s="75" t="n">
        <v>1.028</v>
      </c>
      <c r="L10" s="75" t="n">
        <v>1.054</v>
      </c>
      <c r="M10" s="75" t="n">
        <v>1.077</v>
      </c>
      <c r="N10" s="75" t="n">
        <v>1.09</v>
      </c>
      <c r="O10" s="75" t="n">
        <v>1.099</v>
      </c>
      <c r="P10" s="75" t="n">
        <v>1.104</v>
      </c>
      <c r="Q10" s="75" t="n">
        <v>1.11</v>
      </c>
      <c r="R10" s="75" t="n">
        <v>1.116</v>
      </c>
      <c r="S10" s="75" t="n">
        <v>1.122</v>
      </c>
      <c r="T10" s="75" t="n">
        <v>1.132</v>
      </c>
    </row>
    <row r="11" customFormat="false" ht="15" hidden="false" customHeight="false" outlineLevel="0" collapsed="false">
      <c r="A11" s="89" t="n">
        <v>0.14</v>
      </c>
      <c r="B11" s="89" t="n">
        <v>1</v>
      </c>
      <c r="C11" s="89" t="n">
        <v>1.007</v>
      </c>
      <c r="D11" s="89" t="n">
        <v>1.008</v>
      </c>
      <c r="E11" s="89" t="n">
        <v>1.009</v>
      </c>
      <c r="F11" s="89" t="n">
        <v>1.01</v>
      </c>
      <c r="G11" s="89" t="n">
        <v>1.011</v>
      </c>
      <c r="H11" s="89" t="n">
        <v>1.016</v>
      </c>
      <c r="I11" s="89" t="n">
        <v>1.022</v>
      </c>
      <c r="J11" s="89" t="n">
        <v>1.027</v>
      </c>
      <c r="K11" s="89" t="n">
        <v>1.032</v>
      </c>
      <c r="L11" s="89" t="n">
        <v>1.057</v>
      </c>
      <c r="M11" s="89" t="n">
        <v>1.082</v>
      </c>
      <c r="N11" s="89" t="n">
        <v>1.096</v>
      </c>
      <c r="O11" s="89" t="n">
        <v>1.105</v>
      </c>
      <c r="P11" s="89" t="n">
        <v>1.111</v>
      </c>
      <c r="Q11" s="89" t="n">
        <v>1.117</v>
      </c>
      <c r="R11" s="89" t="n">
        <v>1.123</v>
      </c>
      <c r="S11" s="89" t="n">
        <v>1.131</v>
      </c>
      <c r="T11" s="89" t="n">
        <v>1.142</v>
      </c>
    </row>
    <row r="12" customFormat="false" ht="15" hidden="false" customHeight="false" outlineLevel="0" collapsed="false">
      <c r="A12" s="75" t="n">
        <v>0.16</v>
      </c>
      <c r="B12" s="75" t="n">
        <v>1</v>
      </c>
      <c r="C12" s="75" t="n">
        <v>1.008</v>
      </c>
      <c r="D12" s="75" t="n">
        <v>1.01</v>
      </c>
      <c r="E12" s="75" t="n">
        <v>1.011</v>
      </c>
      <c r="F12" s="75" t="n">
        <v>1.012</v>
      </c>
      <c r="G12" s="75" t="n">
        <v>1.013</v>
      </c>
      <c r="H12" s="75" t="n">
        <v>1.019</v>
      </c>
      <c r="I12" s="75" t="n">
        <v>1.025</v>
      </c>
      <c r="J12" s="75" t="n">
        <v>1.031</v>
      </c>
      <c r="K12" s="75" t="n">
        <v>1.035</v>
      </c>
      <c r="L12" s="75" t="n">
        <v>1.06</v>
      </c>
      <c r="M12" s="75" t="n">
        <v>1.086</v>
      </c>
      <c r="N12" s="75" t="n">
        <v>1.101</v>
      </c>
      <c r="O12" s="75" t="n">
        <v>1.111</v>
      </c>
      <c r="P12" s="75" t="n">
        <v>1.117</v>
      </c>
      <c r="Q12" s="75" t="n">
        <v>1.123</v>
      </c>
      <c r="R12" s="75" t="n">
        <v>1.13</v>
      </c>
      <c r="S12" s="75" t="n">
        <v>1.138</v>
      </c>
      <c r="T12" s="75" t="n">
        <v>1.149</v>
      </c>
    </row>
    <row r="13" customFormat="false" ht="15" hidden="false" customHeight="false" outlineLevel="0" collapsed="false">
      <c r="A13" s="89" t="n">
        <v>0.18</v>
      </c>
      <c r="B13" s="89" t="n">
        <v>1</v>
      </c>
      <c r="C13" s="89" t="n">
        <v>1.01</v>
      </c>
      <c r="D13" s="89" t="n">
        <v>1.012</v>
      </c>
      <c r="E13" s="89" t="n">
        <v>1.013</v>
      </c>
      <c r="F13" s="89" t="n">
        <v>1.014</v>
      </c>
      <c r="G13" s="89" t="n">
        <v>1.016</v>
      </c>
      <c r="H13" s="89" t="n">
        <v>1.022</v>
      </c>
      <c r="I13" s="89" t="n">
        <v>1.029</v>
      </c>
      <c r="J13" s="89" t="n">
        <v>1.034</v>
      </c>
      <c r="K13" s="89" t="n">
        <v>1.038</v>
      </c>
      <c r="L13" s="89" t="n">
        <v>1.063</v>
      </c>
      <c r="M13" s="89" t="n">
        <v>1.09</v>
      </c>
      <c r="N13" s="89" t="n">
        <v>1.106</v>
      </c>
      <c r="O13" s="89" t="n">
        <v>1.116</v>
      </c>
      <c r="P13" s="89" t="n">
        <v>1.124</v>
      </c>
      <c r="Q13" s="89" t="n">
        <v>1.129</v>
      </c>
      <c r="R13" s="89" t="n">
        <v>1.137</v>
      </c>
      <c r="S13" s="89" t="n">
        <v>1.145</v>
      </c>
      <c r="T13" s="89" t="n">
        <v>1.158</v>
      </c>
    </row>
    <row r="14" customFormat="false" ht="15" hidden="false" customHeight="false" outlineLevel="0" collapsed="false">
      <c r="A14" s="75" t="n">
        <v>0.2</v>
      </c>
      <c r="B14" s="75" t="n">
        <v>1</v>
      </c>
      <c r="C14" s="75" t="n">
        <v>1.012</v>
      </c>
      <c r="D14" s="75" t="n">
        <v>1.014</v>
      </c>
      <c r="E14" s="75" t="n">
        <v>1.015</v>
      </c>
      <c r="F14" s="75" t="n">
        <v>1.017</v>
      </c>
      <c r="G14" s="75" t="n">
        <v>1.018</v>
      </c>
      <c r="H14" s="75" t="n">
        <v>1.026</v>
      </c>
      <c r="I14" s="75" t="n">
        <v>1.033</v>
      </c>
      <c r="J14" s="75" t="n">
        <v>1.038</v>
      </c>
      <c r="K14" s="75" t="n">
        <v>1.041</v>
      </c>
      <c r="L14" s="75" t="n">
        <v>1.066</v>
      </c>
      <c r="M14" s="75" t="n">
        <v>1.094</v>
      </c>
      <c r="N14" s="75" t="n">
        <v>1.11</v>
      </c>
      <c r="O14" s="75" t="n">
        <v>1.121</v>
      </c>
      <c r="P14" s="75" t="n">
        <v>1.128</v>
      </c>
      <c r="Q14" s="75" t="n">
        <v>1.136</v>
      </c>
      <c r="R14" s="75" t="n">
        <v>1.144</v>
      </c>
      <c r="S14" s="75" t="n">
        <v>1.153</v>
      </c>
      <c r="T14" s="75" t="n">
        <v>1.166</v>
      </c>
    </row>
    <row r="15" customFormat="false" ht="15" hidden="false" customHeight="false" outlineLevel="0" collapsed="false">
      <c r="A15" s="89" t="n">
        <v>0.3</v>
      </c>
      <c r="B15" s="89" t="n">
        <v>1</v>
      </c>
      <c r="C15" s="89" t="n">
        <v>1.027</v>
      </c>
      <c r="D15" s="89" t="n">
        <v>1.029</v>
      </c>
      <c r="E15" s="89" t="n">
        <v>1.031</v>
      </c>
      <c r="F15" s="89" t="n">
        <v>1.033</v>
      </c>
      <c r="G15" s="89" t="n">
        <v>1.035</v>
      </c>
      <c r="H15" s="89" t="n">
        <v>1.045</v>
      </c>
      <c r="I15" s="89" t="n">
        <v>1.051</v>
      </c>
      <c r="J15" s="89" t="n">
        <v>1.054</v>
      </c>
      <c r="K15" s="89" t="n">
        <v>1.055</v>
      </c>
      <c r="L15" s="89" t="n">
        <v>1.08</v>
      </c>
      <c r="M15" s="89" t="n">
        <v>1.113</v>
      </c>
      <c r="N15" s="89" t="n">
        <v>1.133</v>
      </c>
      <c r="O15" s="89" t="n">
        <v>1.146</v>
      </c>
      <c r="P15" s="89" t="n">
        <v>1.155</v>
      </c>
      <c r="Q15" s="89" t="n">
        <v>1.165</v>
      </c>
      <c r="R15" s="89" t="n">
        <v>1.175</v>
      </c>
      <c r="S15" s="89" t="n">
        <v>1.187</v>
      </c>
      <c r="T15" s="89" t="n">
        <v>1.205</v>
      </c>
    </row>
    <row r="16" customFormat="false" ht="15" hidden="false" customHeight="false" outlineLevel="0" collapsed="false">
      <c r="A16" s="75" t="n">
        <v>0.4</v>
      </c>
      <c r="B16" s="75" t="n">
        <v>1</v>
      </c>
      <c r="C16" s="75" t="n">
        <v>1.049</v>
      </c>
      <c r="D16" s="75" t="n">
        <v>1.052</v>
      </c>
      <c r="E16" s="75" t="n">
        <v>1.054</v>
      </c>
      <c r="F16" s="75" t="n">
        <v>1.057</v>
      </c>
      <c r="G16" s="75" t="n">
        <v>1.059</v>
      </c>
      <c r="H16" s="75" t="n">
        <v>1.068</v>
      </c>
      <c r="I16" s="75" t="n">
        <v>1.071</v>
      </c>
      <c r="J16" s="75" t="n">
        <v>1.071</v>
      </c>
      <c r="K16" s="75" t="n">
        <v>1.071</v>
      </c>
      <c r="L16" s="75" t="n">
        <v>1.099</v>
      </c>
      <c r="M16" s="75" t="n">
        <v>1.135</v>
      </c>
      <c r="N16" s="75" t="n">
        <v>1.157</v>
      </c>
      <c r="O16" s="75" t="n">
        <v>1.173</v>
      </c>
      <c r="P16" s="75" t="n">
        <v>1.184</v>
      </c>
      <c r="Q16" s="75" t="n">
        <v>1.196</v>
      </c>
      <c r="R16" s="75" t="n">
        <v>1.209</v>
      </c>
      <c r="S16" s="75" t="n">
        <v>1.225</v>
      </c>
      <c r="T16" s="75" t="n">
        <v>1.248</v>
      </c>
    </row>
    <row r="17" customFormat="false" ht="15" hidden="false" customHeight="false" outlineLevel="0" collapsed="false">
      <c r="A17" s="89" t="n">
        <v>0.5</v>
      </c>
      <c r="B17" s="89" t="n">
        <v>1</v>
      </c>
      <c r="C17" s="89" t="n">
        <v>1.082</v>
      </c>
      <c r="D17" s="89" t="n">
        <v>1.085</v>
      </c>
      <c r="E17" s="89" t="n">
        <v>1.087</v>
      </c>
      <c r="F17" s="89" t="n">
        <v>1.089</v>
      </c>
      <c r="G17" s="89" t="n">
        <v>1.091</v>
      </c>
      <c r="H17" s="89" t="n">
        <v>1.096</v>
      </c>
      <c r="I17" s="89" t="n">
        <v>1.096</v>
      </c>
      <c r="J17" s="89" t="n">
        <v>1.095</v>
      </c>
      <c r="K17" s="89" t="n">
        <v>1.095</v>
      </c>
      <c r="L17" s="89" t="n">
        <v>1.126</v>
      </c>
      <c r="M17" s="89" t="n">
        <v>1.164</v>
      </c>
      <c r="N17" s="89" t="n">
        <v>1.187</v>
      </c>
      <c r="O17" s="89" t="n">
        <v>1.203</v>
      </c>
      <c r="P17" s="89" t="n">
        <v>1.215</v>
      </c>
      <c r="Q17" s="89" t="n">
        <v>1.229</v>
      </c>
      <c r="R17" s="89" t="n">
        <v>1.246</v>
      </c>
      <c r="S17" s="89" t="n">
        <v>1.266</v>
      </c>
      <c r="T17" s="89" t="n">
        <v>1.292</v>
      </c>
    </row>
    <row r="18" customFormat="false" ht="15" hidden="false" customHeight="false" outlineLevel="0" collapsed="false">
      <c r="A18" s="75" t="n">
        <v>0.6</v>
      </c>
      <c r="B18" s="75" t="n">
        <v>1</v>
      </c>
      <c r="C18" s="75" t="n">
        <v>1.126</v>
      </c>
      <c r="D18" s="75" t="n">
        <v>1.128</v>
      </c>
      <c r="E18" s="75" t="n">
        <v>1.129</v>
      </c>
      <c r="F18" s="75" t="n">
        <v>1.13</v>
      </c>
      <c r="G18" s="75" t="n">
        <v>1.131</v>
      </c>
      <c r="H18" s="75" t="n">
        <v>1.131</v>
      </c>
      <c r="I18" s="75" t="n">
        <v>1.129</v>
      </c>
      <c r="J18" s="75" t="n">
        <v>1.128</v>
      </c>
      <c r="K18" s="75" t="n">
        <v>1.129</v>
      </c>
      <c r="L18" s="75" t="n">
        <v>1.161</v>
      </c>
      <c r="M18" s="75" t="n">
        <v>1.196</v>
      </c>
      <c r="N18" s="75" t="n">
        <v>1.218</v>
      </c>
      <c r="O18" s="75" t="n">
        <v>1.234</v>
      </c>
      <c r="P18" s="75" t="n">
        <v>1.248</v>
      </c>
      <c r="Q18" s="75" t="n">
        <v>1.262</v>
      </c>
      <c r="R18" s="75" t="n">
        <v>1.284</v>
      </c>
      <c r="S18" s="75" t="n">
        <v>1.311</v>
      </c>
      <c r="T18" s="75" t="n">
        <v>1.337</v>
      </c>
    </row>
    <row r="19" customFormat="false" ht="15" hidden="false" customHeight="false" outlineLevel="0" collapsed="false">
      <c r="A19" s="89" t="n">
        <v>0.7</v>
      </c>
      <c r="B19" s="89" t="n">
        <v>1</v>
      </c>
      <c r="C19" s="89" t="n">
        <v>1.176</v>
      </c>
      <c r="D19" s="89" t="n">
        <v>1.175</v>
      </c>
      <c r="E19" s="89" t="n">
        <v>1.175</v>
      </c>
      <c r="F19" s="89" t="n">
        <v>1.175</v>
      </c>
      <c r="G19" s="89" t="n">
        <v>1.174</v>
      </c>
      <c r="H19" s="89" t="n">
        <v>1.171</v>
      </c>
      <c r="I19" s="89" t="n">
        <v>1.169</v>
      </c>
      <c r="J19" s="89" t="n">
        <v>1.168</v>
      </c>
      <c r="K19" s="89" t="n">
        <v>1.169</v>
      </c>
      <c r="L19" s="89" t="n">
        <v>1.195</v>
      </c>
      <c r="M19" s="89" t="n">
        <v>1.224</v>
      </c>
      <c r="N19" s="89" t="n">
        <v>1.242</v>
      </c>
      <c r="O19" s="89" t="n">
        <v>1.256</v>
      </c>
      <c r="P19" s="89" t="n">
        <v>1.269</v>
      </c>
      <c r="Q19" s="89" t="n">
        <v>1.288</v>
      </c>
      <c r="R19" s="89" t="n">
        <v>1.314</v>
      </c>
      <c r="S19" s="89" t="n">
        <v>1.343</v>
      </c>
      <c r="T19" s="89" t="n">
        <v>1.365</v>
      </c>
    </row>
    <row r="20" customFormat="false" ht="15" hidden="false" customHeight="false" outlineLevel="0" collapsed="false">
      <c r="A20" s="75" t="n">
        <v>0.8</v>
      </c>
      <c r="B20" s="75" t="n">
        <v>1</v>
      </c>
      <c r="C20" s="75" t="n">
        <v>1.215</v>
      </c>
      <c r="D20" s="75" t="n">
        <v>1.214</v>
      </c>
      <c r="E20" s="75" t="n">
        <v>1.212</v>
      </c>
      <c r="F20" s="75" t="n">
        <v>1.211</v>
      </c>
      <c r="G20" s="75" t="n">
        <v>1.21</v>
      </c>
      <c r="H20" s="75" t="n">
        <v>1.204</v>
      </c>
      <c r="I20" s="75" t="n">
        <v>1.2</v>
      </c>
      <c r="J20" s="75" t="n">
        <v>1.198</v>
      </c>
      <c r="K20" s="75" t="n">
        <v>1.196</v>
      </c>
      <c r="L20" s="75" t="n">
        <v>1.21</v>
      </c>
      <c r="M20" s="75" t="n">
        <v>1.228</v>
      </c>
      <c r="N20" s="75" t="n">
        <v>1.241</v>
      </c>
      <c r="O20" s="75" t="n">
        <v>1.252</v>
      </c>
      <c r="P20" s="75" t="n">
        <v>1.267</v>
      </c>
      <c r="Q20" s="75" t="n">
        <v>1.291</v>
      </c>
      <c r="R20" s="75" t="n">
        <v>1.316</v>
      </c>
      <c r="S20" s="75" t="n">
        <v>1.341</v>
      </c>
      <c r="T20" s="75" t="n">
        <v>1.355</v>
      </c>
    </row>
    <row r="21" customFormat="false" ht="15" hidden="false" customHeight="false" outlineLevel="0" collapsed="false">
      <c r="A21" s="89" t="n">
        <v>0.9</v>
      </c>
      <c r="B21" s="89" t="n">
        <v>1</v>
      </c>
      <c r="C21" s="89" t="n">
        <v>1.215</v>
      </c>
      <c r="D21" s="89" t="n">
        <v>1.212</v>
      </c>
      <c r="E21" s="89" t="n">
        <v>1.21</v>
      </c>
      <c r="F21" s="89" t="n">
        <v>1.208</v>
      </c>
      <c r="G21" s="89" t="n">
        <v>1.206</v>
      </c>
      <c r="H21" s="89" t="n">
        <v>1.198</v>
      </c>
      <c r="I21" s="89" t="n">
        <v>1.191</v>
      </c>
      <c r="J21" s="89" t="n">
        <v>1.185</v>
      </c>
      <c r="K21" s="89" t="n">
        <v>1.18</v>
      </c>
      <c r="L21" s="89" t="n">
        <v>1.178</v>
      </c>
      <c r="M21" s="89" t="n">
        <v>1.184</v>
      </c>
      <c r="N21" s="89" t="n">
        <v>1.19</v>
      </c>
      <c r="O21" s="89" t="n">
        <v>1.199</v>
      </c>
      <c r="P21" s="89" t="n">
        <v>1.218</v>
      </c>
      <c r="Q21" s="89" t="n">
        <v>1.24</v>
      </c>
      <c r="R21" s="89" t="n">
        <v>1.259</v>
      </c>
      <c r="S21" s="89" t="n">
        <v>1.271</v>
      </c>
      <c r="T21" s="89" t="n">
        <v>1.272</v>
      </c>
    </row>
    <row r="22" customFormat="false" ht="15" hidden="false" customHeight="false" outlineLevel="0" collapsed="false">
      <c r="A22" s="75" t="n">
        <v>1</v>
      </c>
      <c r="B22" s="75" t="n">
        <v>1</v>
      </c>
      <c r="C22" s="75" t="n">
        <v>1.133</v>
      </c>
      <c r="D22" s="75" t="n">
        <v>1.13</v>
      </c>
      <c r="E22" s="75" t="n">
        <v>1.128</v>
      </c>
      <c r="F22" s="75" t="n">
        <v>1.125</v>
      </c>
      <c r="G22" s="75" t="n">
        <v>1.123</v>
      </c>
      <c r="H22" s="75" t="n">
        <v>1.112</v>
      </c>
      <c r="I22" s="75" t="n">
        <v>1.102</v>
      </c>
      <c r="J22" s="75" t="n">
        <v>1.094</v>
      </c>
      <c r="K22" s="75" t="n">
        <v>1.087</v>
      </c>
      <c r="L22" s="75" t="n">
        <v>1.07</v>
      </c>
      <c r="M22" s="75" t="n">
        <v>1.067</v>
      </c>
      <c r="N22" s="75" t="n">
        <v>1.069</v>
      </c>
      <c r="O22" s="75" t="n">
        <v>1.08</v>
      </c>
      <c r="P22" s="75" t="n">
        <v>1.098</v>
      </c>
      <c r="Q22" s="75" t="n">
        <v>1.105</v>
      </c>
      <c r="R22" s="75" t="n">
        <v>1.104</v>
      </c>
      <c r="S22" s="75" t="n">
        <v>1.094</v>
      </c>
      <c r="T22" s="75" t="n">
        <v>1.073</v>
      </c>
    </row>
    <row r="23" customFormat="false" ht="15" hidden="false" customHeight="false" outlineLevel="0" collapsed="false">
      <c r="A23" s="89" t="n">
        <v>1.1</v>
      </c>
      <c r="B23" s="89" t="n">
        <v>1</v>
      </c>
      <c r="C23" s="89" t="n">
        <v>0.951</v>
      </c>
      <c r="D23" s="89" t="n">
        <v>0.948</v>
      </c>
      <c r="E23" s="89" t="n">
        <v>0.946</v>
      </c>
      <c r="F23" s="89" t="n">
        <v>0.943</v>
      </c>
      <c r="G23" s="89" t="n">
        <v>0.941</v>
      </c>
      <c r="H23" s="89" t="n">
        <v>0.93</v>
      </c>
      <c r="I23" s="89" t="n">
        <v>0.921</v>
      </c>
      <c r="J23" s="89" t="n">
        <v>0.912</v>
      </c>
      <c r="K23" s="89" t="n">
        <v>0.905</v>
      </c>
      <c r="L23" s="89" t="n">
        <v>0.884</v>
      </c>
      <c r="M23" s="89" t="n">
        <v>0.877</v>
      </c>
      <c r="N23" s="89" t="n">
        <v>0.882</v>
      </c>
      <c r="O23" s="89" t="n">
        <v>0.887</v>
      </c>
      <c r="P23" s="89" t="n">
        <v>0.879</v>
      </c>
      <c r="Q23" s="89" t="n">
        <v>0.861</v>
      </c>
      <c r="R23" s="89" t="n">
        <v>0.842</v>
      </c>
      <c r="S23" s="89" t="n">
        <v>0.82</v>
      </c>
      <c r="T23" s="89" t="n">
        <v>0.801</v>
      </c>
    </row>
    <row r="24" customFormat="false" ht="15" hidden="false" customHeight="false" outlineLevel="0" collapsed="false">
      <c r="A24" s="75" t="n">
        <v>1.2</v>
      </c>
      <c r="B24" s="75" t="n">
        <v>1</v>
      </c>
      <c r="C24" s="75" t="n">
        <v>0.71</v>
      </c>
      <c r="D24" s="75" t="n">
        <v>0.708</v>
      </c>
      <c r="E24" s="75" t="n">
        <v>0.707</v>
      </c>
      <c r="F24" s="75" t="n">
        <v>0.705</v>
      </c>
      <c r="G24" s="75" t="n">
        <v>0.703</v>
      </c>
      <c r="H24" s="75" t="n">
        <v>0.695</v>
      </c>
      <c r="I24" s="75" t="n">
        <v>0.688</v>
      </c>
      <c r="J24" s="75" t="n">
        <v>0.682</v>
      </c>
      <c r="K24" s="75" t="n">
        <v>0.677</v>
      </c>
      <c r="L24" s="75" t="n">
        <v>0.661</v>
      </c>
      <c r="M24" s="75" t="n">
        <v>0.658</v>
      </c>
      <c r="N24" s="75" t="n">
        <v>0.649</v>
      </c>
      <c r="O24" s="75" t="n">
        <v>0.633</v>
      </c>
      <c r="P24" s="75" t="n">
        <v>0.613</v>
      </c>
      <c r="Q24" s="75" t="n">
        <v>0.597</v>
      </c>
      <c r="R24" s="75" t="n">
        <v>0.583</v>
      </c>
      <c r="S24" s="75" t="n">
        <v>0.571</v>
      </c>
      <c r="T24" s="75" t="n">
        <v>0.561</v>
      </c>
    </row>
    <row r="25" customFormat="false" ht="15" hidden="false" customHeight="false" outlineLevel="0" collapsed="false">
      <c r="A25" s="89" t="n">
        <v>1.3</v>
      </c>
      <c r="B25" s="89" t="n">
        <v>1</v>
      </c>
      <c r="C25" s="89" t="n">
        <v>0.498</v>
      </c>
      <c r="D25" s="89" t="n">
        <v>0.497</v>
      </c>
      <c r="E25" s="89" t="n">
        <v>0.496</v>
      </c>
      <c r="F25" s="89" t="n">
        <v>0.495</v>
      </c>
      <c r="G25" s="89" t="n">
        <v>0.494</v>
      </c>
      <c r="H25" s="89" t="n">
        <v>0.49</v>
      </c>
      <c r="I25" s="89" t="n">
        <v>0.486</v>
      </c>
      <c r="J25" s="89" t="n">
        <v>0.483</v>
      </c>
      <c r="K25" s="89" t="n">
        <v>0.48</v>
      </c>
      <c r="L25" s="89" t="n">
        <v>0.471</v>
      </c>
      <c r="M25" s="89" t="n">
        <v>0.461</v>
      </c>
      <c r="N25" s="89" t="n">
        <v>0.449</v>
      </c>
      <c r="O25" s="89" t="n">
        <v>0.439</v>
      </c>
      <c r="P25" s="89" t="n">
        <v>0.426</v>
      </c>
      <c r="Q25" s="89" t="n">
        <v>0.427</v>
      </c>
      <c r="R25" s="89" t="n">
        <v>0.42</v>
      </c>
      <c r="S25" s="89" t="n">
        <v>0.415</v>
      </c>
      <c r="T25" s="89" t="n">
        <v>0.413</v>
      </c>
    </row>
    <row r="26" customFormat="false" ht="15" hidden="false" customHeight="false" outlineLevel="0" collapsed="false">
      <c r="A26" s="75" t="n">
        <v>1.4</v>
      </c>
      <c r="B26" s="75" t="n">
        <v>1</v>
      </c>
      <c r="C26" s="75" t="n">
        <v>0.376</v>
      </c>
      <c r="D26" s="75" t="n">
        <v>0.375</v>
      </c>
      <c r="E26" s="75" t="n">
        <v>0.375</v>
      </c>
      <c r="F26" s="75" t="n">
        <v>0.375</v>
      </c>
      <c r="G26" s="75" t="n">
        <v>0.374</v>
      </c>
      <c r="H26" s="75" t="n">
        <v>0.373</v>
      </c>
      <c r="I26" s="75" t="n">
        <v>0.371</v>
      </c>
      <c r="J26" s="75" t="n">
        <v>0.37</v>
      </c>
      <c r="K26" s="75" t="n">
        <v>0.368</v>
      </c>
      <c r="L26" s="75" t="n">
        <v>0.363</v>
      </c>
      <c r="M26" s="75" t="n">
        <v>0.361</v>
      </c>
      <c r="N26" s="75" t="n">
        <v>0.359</v>
      </c>
      <c r="O26" s="75" t="n">
        <v>0.358</v>
      </c>
      <c r="P26" s="75" t="n">
        <v>0.357</v>
      </c>
      <c r="Q26" s="75" t="n">
        <v>0.355</v>
      </c>
      <c r="R26" s="75" t="n">
        <v>0.354</v>
      </c>
      <c r="S26" s="75" t="n">
        <v>0.351</v>
      </c>
      <c r="T26" s="75" t="n">
        <v>0.351</v>
      </c>
    </row>
    <row r="27" customFormat="false" ht="15" hidden="false" customHeight="false" outlineLevel="0" collapsed="false">
      <c r="A27" s="89" t="n">
        <v>1.5</v>
      </c>
      <c r="B27" s="89" t="n">
        <v>1</v>
      </c>
      <c r="C27" s="89" t="n">
        <v>0.334</v>
      </c>
      <c r="D27" s="89" t="n">
        <v>0.334</v>
      </c>
      <c r="E27" s="89" t="n">
        <v>0.333</v>
      </c>
      <c r="F27" s="89" t="n">
        <v>0.333</v>
      </c>
      <c r="G27" s="89" t="n">
        <v>0.333</v>
      </c>
      <c r="H27" s="89" t="n">
        <v>0.332</v>
      </c>
      <c r="I27" s="89" t="n">
        <v>0.331</v>
      </c>
      <c r="J27" s="89" t="n">
        <v>0.331</v>
      </c>
      <c r="K27" s="89" t="n">
        <v>0.33</v>
      </c>
      <c r="L27" s="89" t="n">
        <v>0.33</v>
      </c>
      <c r="M27" s="89" t="n">
        <v>0.331</v>
      </c>
      <c r="N27" s="89" t="n">
        <v>0.332</v>
      </c>
      <c r="O27" s="89" t="n">
        <v>0.333</v>
      </c>
      <c r="P27" s="89" t="n">
        <v>0.332</v>
      </c>
      <c r="Q27" s="89" t="n">
        <v>0.333</v>
      </c>
      <c r="R27" s="89" t="n">
        <v>0.331</v>
      </c>
      <c r="S27" s="89" t="n">
        <v>0.333</v>
      </c>
      <c r="T27" s="89" t="n">
        <v>0.331</v>
      </c>
    </row>
    <row r="28" customFormat="false" ht="15" hidden="false" customHeight="false" outlineLevel="0" collapsed="false">
      <c r="A28" s="75" t="n">
        <v>1.6</v>
      </c>
      <c r="B28" s="75" t="n">
        <v>1</v>
      </c>
      <c r="C28" s="75" t="n">
        <v>0.32</v>
      </c>
      <c r="D28" s="75" t="n">
        <v>0.319</v>
      </c>
      <c r="E28" s="75" t="n">
        <v>0.319</v>
      </c>
      <c r="F28" s="75" t="n">
        <v>0.319</v>
      </c>
      <c r="G28" s="75" t="n">
        <v>0.319</v>
      </c>
      <c r="H28" s="75" t="n">
        <v>0.318</v>
      </c>
      <c r="I28" s="75" t="n">
        <v>0.318</v>
      </c>
      <c r="J28" s="75" t="n">
        <v>0.317</v>
      </c>
      <c r="K28" s="75" t="n">
        <v>0.317</v>
      </c>
      <c r="L28" s="75" t="n">
        <v>0.317</v>
      </c>
      <c r="M28" s="75" t="n">
        <v>0.319</v>
      </c>
      <c r="N28" s="75" t="n">
        <v>0.32</v>
      </c>
      <c r="O28" s="75" t="n">
        <v>0.321</v>
      </c>
      <c r="P28" s="75" t="n">
        <v>0.32</v>
      </c>
      <c r="Q28" s="75" t="n">
        <v>0.32</v>
      </c>
      <c r="R28" s="75" t="n">
        <v>0.322</v>
      </c>
      <c r="S28" s="75" t="n">
        <v>0.319</v>
      </c>
      <c r="T28" s="75" t="n">
        <v>0.319</v>
      </c>
    </row>
    <row r="29" customFormat="false" ht="15" hidden="false" customHeight="false" outlineLevel="0" collapsed="false">
      <c r="A29" s="89" t="n">
        <v>1.7</v>
      </c>
      <c r="B29" s="89" t="n">
        <v>1</v>
      </c>
      <c r="C29" s="89" t="n">
        <v>0.308</v>
      </c>
      <c r="D29" s="89" t="n">
        <v>0.308</v>
      </c>
      <c r="E29" s="89" t="n">
        <v>0.308</v>
      </c>
      <c r="F29" s="89" t="n">
        <v>0.308</v>
      </c>
      <c r="G29" s="89" t="n">
        <v>0.308</v>
      </c>
      <c r="H29" s="89" t="n">
        <v>0.307</v>
      </c>
      <c r="I29" s="89" t="n">
        <v>0.307</v>
      </c>
      <c r="J29" s="89" t="n">
        <v>0.306</v>
      </c>
      <c r="K29" s="89" t="n">
        <v>0.306</v>
      </c>
      <c r="L29" s="89" t="n">
        <v>0.306</v>
      </c>
      <c r="M29" s="89" t="n">
        <v>0.307</v>
      </c>
      <c r="N29" s="89" t="n">
        <v>0.308</v>
      </c>
      <c r="O29" s="89" t="n">
        <v>0.309</v>
      </c>
      <c r="P29" s="89" t="n">
        <v>0.309</v>
      </c>
      <c r="Q29" s="89" t="n">
        <v>0.308</v>
      </c>
      <c r="R29" s="89" t="n">
        <v>0.309</v>
      </c>
      <c r="S29" s="89" t="n">
        <v>0.308</v>
      </c>
      <c r="T29" s="89" t="n">
        <v>0.308</v>
      </c>
    </row>
    <row r="30" customFormat="false" ht="15" hidden="false" customHeight="false" outlineLevel="0" collapsed="false">
      <c r="A30" s="75" t="n">
        <v>1.8</v>
      </c>
      <c r="B30" s="75" t="n">
        <v>1</v>
      </c>
      <c r="C30" s="75" t="n">
        <v>0.296</v>
      </c>
      <c r="D30" s="75" t="n">
        <v>0.296</v>
      </c>
      <c r="E30" s="75" t="n">
        <v>0.296</v>
      </c>
      <c r="F30" s="75" t="n">
        <v>0.296</v>
      </c>
      <c r="G30" s="75" t="n">
        <v>0.296</v>
      </c>
      <c r="H30" s="75" t="n">
        <v>0.295</v>
      </c>
      <c r="I30" s="75" t="n">
        <v>0.295</v>
      </c>
      <c r="J30" s="75" t="n">
        <v>0.294</v>
      </c>
      <c r="K30" s="75" t="n">
        <v>0.294</v>
      </c>
      <c r="L30" s="75" t="n">
        <v>0.294</v>
      </c>
      <c r="M30" s="75" t="n">
        <v>0.295</v>
      </c>
      <c r="N30" s="75" t="n">
        <v>0.296</v>
      </c>
      <c r="O30" s="75" t="n">
        <v>0.296</v>
      </c>
      <c r="P30" s="75" t="n">
        <v>0.295</v>
      </c>
      <c r="Q30" s="75" t="n">
        <v>0.297</v>
      </c>
      <c r="R30" s="75" t="n">
        <v>0.295</v>
      </c>
      <c r="S30" s="75" t="n">
        <v>0.297</v>
      </c>
      <c r="T30" s="75" t="n">
        <v>0.292</v>
      </c>
    </row>
    <row r="31" customFormat="false" ht="15" hidden="false" customHeight="false" outlineLevel="0" collapsed="false">
      <c r="A31" s="89" t="n">
        <v>1.9</v>
      </c>
      <c r="B31" s="89" t="n">
        <v>1</v>
      </c>
      <c r="C31" s="89" t="n">
        <v>0.283</v>
      </c>
      <c r="D31" s="89" t="n">
        <v>0.283</v>
      </c>
      <c r="E31" s="89" t="n">
        <v>0.283</v>
      </c>
      <c r="F31" s="89" t="n">
        <v>0.283</v>
      </c>
      <c r="G31" s="89" t="n">
        <v>0.282</v>
      </c>
      <c r="H31" s="89" t="n">
        <v>0.282</v>
      </c>
      <c r="I31" s="89" t="n">
        <v>0.282</v>
      </c>
      <c r="J31" s="89" t="n">
        <v>0.281</v>
      </c>
      <c r="K31" s="89" t="n">
        <v>0.281</v>
      </c>
      <c r="L31" s="89" t="n">
        <v>0.281</v>
      </c>
      <c r="M31" s="89" t="n">
        <v>0.281</v>
      </c>
      <c r="N31" s="89" t="n">
        <v>0.282</v>
      </c>
      <c r="O31" s="89" t="n">
        <v>0.282</v>
      </c>
      <c r="P31" s="89" t="n">
        <v>0.284</v>
      </c>
      <c r="Q31" s="89" t="n">
        <v>0.283</v>
      </c>
      <c r="R31" s="89" t="n">
        <v>0.281</v>
      </c>
      <c r="S31" s="89" t="n">
        <v>0.28</v>
      </c>
      <c r="T31" s="89" t="n">
        <v>0.28</v>
      </c>
    </row>
    <row r="32" customFormat="false" ht="15" hidden="false" customHeight="false" outlineLevel="0" collapsed="false">
      <c r="A32" s="75" t="n">
        <v>2</v>
      </c>
      <c r="B32" s="75" t="n">
        <v>1</v>
      </c>
      <c r="C32" s="75" t="n">
        <v>0.268</v>
      </c>
      <c r="D32" s="75" t="n">
        <v>0.268</v>
      </c>
      <c r="E32" s="75" t="n">
        <v>0.268</v>
      </c>
      <c r="F32" s="75" t="n">
        <v>0.268</v>
      </c>
      <c r="G32" s="75" t="n">
        <v>0.268</v>
      </c>
      <c r="H32" s="75" t="n">
        <v>0.267</v>
      </c>
      <c r="I32" s="75" t="n">
        <v>0.267</v>
      </c>
      <c r="J32" s="75" t="n">
        <v>0.267</v>
      </c>
      <c r="K32" s="75" t="n">
        <v>0.266</v>
      </c>
      <c r="L32" s="75" t="n">
        <v>0.266</v>
      </c>
      <c r="M32" s="75" t="n">
        <v>0.266</v>
      </c>
      <c r="N32" s="75" t="n">
        <v>0.266</v>
      </c>
      <c r="O32" s="75" t="n">
        <v>0.266</v>
      </c>
      <c r="P32" s="75" t="n">
        <v>0.262</v>
      </c>
      <c r="Q32" s="75" t="n">
        <v>0.261</v>
      </c>
      <c r="R32" s="75" t="n">
        <v>0.256</v>
      </c>
      <c r="S32" s="75" t="n">
        <v>0.263</v>
      </c>
      <c r="T32" s="75" t="n">
        <v>0.266</v>
      </c>
    </row>
    <row r="34" customFormat="false" ht="15" hidden="false" customHeight="false" outlineLevel="0" collapsed="false">
      <c r="A34" s="87" t="s">
        <v>767</v>
      </c>
    </row>
  </sheetData>
  <autoFilter ref="A1:T3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5"/>
  </cols>
  <sheetData>
    <row r="1" customFormat="false" ht="30" hidden="false" customHeight="true" outlineLevel="0" collapsed="false">
      <c r="A1" s="70" t="s">
        <v>768</v>
      </c>
      <c r="B1" s="70" t="s">
        <v>769</v>
      </c>
      <c r="C1" s="70" t="s">
        <v>770</v>
      </c>
      <c r="D1" s="70" t="s">
        <v>592</v>
      </c>
    </row>
    <row r="2" customFormat="false" ht="15" hidden="false" customHeight="false" outlineLevel="0" collapsed="false">
      <c r="A2" s="72" t="s">
        <v>771</v>
      </c>
      <c r="B2" s="75" t="n">
        <v>1</v>
      </c>
      <c r="C2" s="72" t="s">
        <v>772</v>
      </c>
      <c r="D2" s="72" t="s">
        <v>773</v>
      </c>
    </row>
    <row r="3" customFormat="false" ht="15" hidden="false" customHeight="false" outlineLevel="0" collapsed="false">
      <c r="A3" s="80" t="s">
        <v>564</v>
      </c>
      <c r="B3" s="89" t="n">
        <v>1.15</v>
      </c>
      <c r="C3" s="80" t="s">
        <v>774</v>
      </c>
      <c r="D3" s="80" t="s">
        <v>775</v>
      </c>
    </row>
    <row r="4" customFormat="false" ht="15" hidden="false" customHeight="false" outlineLevel="0" collapsed="false">
      <c r="A4" s="72" t="s">
        <v>474</v>
      </c>
      <c r="B4" s="75" t="n">
        <v>1.25</v>
      </c>
      <c r="C4" s="72" t="s">
        <v>776</v>
      </c>
      <c r="D4" s="72" t="s">
        <v>777</v>
      </c>
    </row>
    <row r="5" customFormat="false" ht="15" hidden="false" customHeight="false" outlineLevel="0" collapsed="false">
      <c r="A5" s="80" t="s">
        <v>572</v>
      </c>
      <c r="B5" s="89" t="n">
        <v>1.8</v>
      </c>
      <c r="C5" s="80" t="s">
        <v>778</v>
      </c>
      <c r="D5" s="80" t="s">
        <v>779</v>
      </c>
    </row>
    <row r="6" customFormat="false" ht="15" hidden="false" customHeight="false" outlineLevel="0" collapsed="false">
      <c r="A6" s="72" t="s">
        <v>467</v>
      </c>
      <c r="B6" s="72" t="s">
        <v>780</v>
      </c>
      <c r="C6" s="72" t="s">
        <v>781</v>
      </c>
      <c r="D6" s="72" t="s">
        <v>782</v>
      </c>
    </row>
    <row r="7" customFormat="false" ht="15" hidden="false" customHeight="false" outlineLevel="0" collapsed="false">
      <c r="A7" s="80" t="s">
        <v>783</v>
      </c>
      <c r="B7" s="89" t="n">
        <v>1</v>
      </c>
      <c r="C7" s="80" t="s">
        <v>784</v>
      </c>
      <c r="D7" s="80" t="s">
        <v>785</v>
      </c>
    </row>
    <row r="9" customFormat="false" ht="15" hidden="false" customHeight="false" outlineLevel="0" collapsed="false">
      <c r="A9" s="87" t="s">
        <v>786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30" hidden="false" customHeight="true" outlineLevel="0" collapsed="false">
      <c r="A1" s="70" t="s">
        <v>692</v>
      </c>
      <c r="B1" s="70" t="s">
        <v>787</v>
      </c>
      <c r="C1" s="70" t="s">
        <v>695</v>
      </c>
      <c r="D1" s="70" t="s">
        <v>788</v>
      </c>
      <c r="E1" s="70" t="s">
        <v>789</v>
      </c>
      <c r="F1" s="70" t="s">
        <v>790</v>
      </c>
    </row>
    <row r="2" customFormat="false" ht="15" hidden="false" customHeight="false" outlineLevel="0" collapsed="false">
      <c r="A2" s="72" t="s">
        <v>201</v>
      </c>
      <c r="B2" s="72" t="s">
        <v>84</v>
      </c>
      <c r="C2" s="72" t="s">
        <v>791</v>
      </c>
      <c r="D2" s="72" t="s">
        <v>84</v>
      </c>
      <c r="E2" s="72" t="s">
        <v>792</v>
      </c>
      <c r="F2" s="72" t="s">
        <v>793</v>
      </c>
    </row>
    <row r="3" customFormat="false" ht="15" hidden="false" customHeight="false" outlineLevel="0" collapsed="false">
      <c r="A3" s="80" t="s">
        <v>312</v>
      </c>
      <c r="B3" s="80" t="s">
        <v>84</v>
      </c>
      <c r="C3" s="80" t="s">
        <v>791</v>
      </c>
      <c r="D3" s="80" t="s">
        <v>794</v>
      </c>
      <c r="E3" s="80" t="s">
        <v>795</v>
      </c>
      <c r="F3" s="80" t="s">
        <v>796</v>
      </c>
    </row>
    <row r="4" customFormat="false" ht="15" hidden="false" customHeight="false" outlineLevel="0" collapsed="false">
      <c r="A4" s="72" t="s">
        <v>797</v>
      </c>
      <c r="B4" s="72" t="s">
        <v>330</v>
      </c>
      <c r="C4" s="72" t="s">
        <v>791</v>
      </c>
      <c r="D4" s="72" t="s">
        <v>798</v>
      </c>
      <c r="E4" s="72" t="s">
        <v>799</v>
      </c>
      <c r="F4" s="72" t="s">
        <v>800</v>
      </c>
    </row>
    <row r="5" customFormat="false" ht="15" hidden="false" customHeight="false" outlineLevel="0" collapsed="false">
      <c r="A5" s="80" t="s">
        <v>797</v>
      </c>
      <c r="B5" s="80" t="s">
        <v>801</v>
      </c>
      <c r="C5" s="80" t="s">
        <v>802</v>
      </c>
      <c r="D5" s="80" t="s">
        <v>803</v>
      </c>
      <c r="E5" s="80" t="s">
        <v>804</v>
      </c>
      <c r="F5" s="80" t="s">
        <v>805</v>
      </c>
    </row>
    <row r="6" customFormat="false" ht="15" hidden="false" customHeight="false" outlineLevel="0" collapsed="false">
      <c r="A6" s="72" t="s">
        <v>797</v>
      </c>
      <c r="B6" s="72" t="s">
        <v>806</v>
      </c>
      <c r="C6" s="72" t="s">
        <v>802</v>
      </c>
      <c r="D6" s="72" t="s">
        <v>807</v>
      </c>
      <c r="E6" s="72" t="s">
        <v>804</v>
      </c>
      <c r="F6" s="72" t="s">
        <v>808</v>
      </c>
    </row>
    <row r="7" customFormat="false" ht="15" hidden="false" customHeight="false" outlineLevel="0" collapsed="false">
      <c r="A7" s="80" t="s">
        <v>797</v>
      </c>
      <c r="B7" s="80" t="s">
        <v>809</v>
      </c>
      <c r="C7" s="80" t="s">
        <v>791</v>
      </c>
      <c r="D7" s="80" t="s">
        <v>810</v>
      </c>
      <c r="E7" s="80" t="s">
        <v>811</v>
      </c>
      <c r="F7" s="80" t="s">
        <v>812</v>
      </c>
    </row>
    <row r="8" customFormat="false" ht="15" hidden="false" customHeight="false" outlineLevel="0" collapsed="false">
      <c r="A8" s="72" t="s">
        <v>813</v>
      </c>
      <c r="B8" s="72" t="s">
        <v>84</v>
      </c>
      <c r="C8" s="72" t="s">
        <v>729</v>
      </c>
      <c r="D8" s="72" t="s">
        <v>814</v>
      </c>
      <c r="E8" s="72" t="s">
        <v>815</v>
      </c>
      <c r="F8" s="72" t="s">
        <v>816</v>
      </c>
    </row>
    <row r="10" customFormat="false" ht="15" hidden="false" customHeight="false" outlineLevel="0" collapsed="false">
      <c r="A10" s="87" t="s">
        <v>817</v>
      </c>
    </row>
  </sheetData>
  <autoFilter ref="A1:F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P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6" min="3" style="0" width="26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true" outlineLevel="0" max="10" min="9" style="0" width="16"/>
    <col collapsed="false" customWidth="true" hidden="true" outlineLevel="0" max="12" min="11" style="0" width="17"/>
    <col collapsed="false" customWidth="true" hidden="true" outlineLevel="0" max="13" min="13" style="0" width="21"/>
    <col collapsed="false" customWidth="true" hidden="true" outlineLevel="0" max="14" min="14" style="0" width="24"/>
    <col collapsed="false" customWidth="true" hidden="true" outlineLevel="0" max="16" min="15" style="0" width="18"/>
  </cols>
  <sheetData>
    <row r="1" customFormat="false" ht="30" hidden="false" customHeight="true" outlineLevel="0" collapsed="false">
      <c r="A1" s="70" t="s">
        <v>818</v>
      </c>
      <c r="B1" s="70" t="s">
        <v>819</v>
      </c>
      <c r="C1" s="70" t="str">
        <f aca="false">IF(UNIT_SYSTEM="SI","T (°C)","T (°F)")</f>
        <v>T (°C)</v>
      </c>
      <c r="D1" s="70" t="str">
        <f aca="false">IF(UNIT_SYSTEM="SI","thickness (mm)","thickness (in)")</f>
        <v>thickness (mm)</v>
      </c>
      <c r="E1" s="70" t="str">
        <f aca="false">IF(UNIT_SYSTEM="SI","Ji (kJ/m²)","Ji (in-lb/in²)")</f>
        <v>Ji (kJ/m²)</v>
      </c>
      <c r="F1" s="70" t="str">
        <f aca="false">IF(UNIT_SYSTEM="SI","C_R (kJ/m² per mmⁿ)","C_R (in-lb/in² per inⁿ)")</f>
        <v>C_R (kJ/m² per mmⁿ)</v>
      </c>
      <c r="G1" s="70" t="s">
        <v>820</v>
      </c>
      <c r="H1" s="70" t="s">
        <v>450</v>
      </c>
      <c r="I1" s="71" t="s">
        <v>821</v>
      </c>
      <c r="J1" s="71" t="s">
        <v>822</v>
      </c>
      <c r="K1" s="71" t="s">
        <v>823</v>
      </c>
      <c r="L1" s="71" t="s">
        <v>824</v>
      </c>
      <c r="M1" s="71" t="s">
        <v>825</v>
      </c>
      <c r="N1" s="71" t="s">
        <v>826</v>
      </c>
      <c r="O1" s="71" t="s">
        <v>827</v>
      </c>
      <c r="P1" s="71" t="s">
        <v>828</v>
      </c>
    </row>
    <row r="2" customFormat="false" ht="15" hidden="false" customHeight="false" outlineLevel="0" collapsed="false">
      <c r="A2" s="72" t="s">
        <v>417</v>
      </c>
      <c r="B2" s="72" t="s">
        <v>829</v>
      </c>
      <c r="C2" s="73" t="n">
        <f aca="false">IF(UNIT_SYSTEM="SI",IF(I2="","",I2),IF(J2="","",J2))</f>
        <v>288</v>
      </c>
      <c r="D2" s="75" t="n">
        <f aca="false">IF(UNIT_SYSTEM="SI",IF(K2="","",K2),IF(L2="","",L2))</f>
        <v>25</v>
      </c>
      <c r="E2" s="75" t="n">
        <f aca="false">IF(UNIT_SYSTEM="SI",IF(M2="","",M2),IF(N2="","",N2))</f>
        <v>61</v>
      </c>
      <c r="F2" s="73" t="n">
        <f aca="false">IF(UNIT_SYSTEM="SI",IF(O2="","",O2),IF(P2="","",P2))</f>
        <v>129</v>
      </c>
      <c r="G2" s="75" t="n">
        <v>0.277</v>
      </c>
      <c r="H2" s="72" t="s">
        <v>830</v>
      </c>
      <c r="I2" s="76" t="n">
        <v>288</v>
      </c>
      <c r="J2" s="76" t="n">
        <v>550</v>
      </c>
      <c r="K2" s="77" t="n">
        <v>25</v>
      </c>
      <c r="L2" s="77" t="n">
        <v>1</v>
      </c>
      <c r="M2" s="77" t="n">
        <v>61</v>
      </c>
      <c r="N2" s="76" t="n">
        <v>350</v>
      </c>
      <c r="O2" s="76" t="n">
        <v>129</v>
      </c>
      <c r="P2" s="76" t="n">
        <v>1808</v>
      </c>
    </row>
    <row r="3" customFormat="false" ht="15" hidden="false" customHeight="false" outlineLevel="0" collapsed="false">
      <c r="A3" s="80" t="s">
        <v>831</v>
      </c>
      <c r="B3" s="80" t="s">
        <v>832</v>
      </c>
      <c r="C3" s="81" t="n">
        <f aca="false">IF(UNIT_SYSTEM="SI",IF(I3="","",I3),IF(J3="","",J3))</f>
        <v>288</v>
      </c>
      <c r="D3" s="89" t="n">
        <f aca="false">IF(UNIT_SYSTEM="SI",IF(K3="","",K3),IF(L3="","",L3))</f>
        <v>25</v>
      </c>
      <c r="E3" s="81" t="n">
        <f aca="false">IF(UNIT_SYSTEM="SI",IF(M3="","",M3),IF(N3="","",N3))</f>
        <v>105</v>
      </c>
      <c r="F3" s="81" t="n">
        <f aca="false">IF(UNIT_SYSTEM="SI",IF(O3="","",O3),IF(P3="","",P3))</f>
        <v>185</v>
      </c>
      <c r="G3" s="89" t="n">
        <v>0.274</v>
      </c>
      <c r="H3" s="80" t="s">
        <v>830</v>
      </c>
      <c r="I3" s="82" t="n">
        <v>288</v>
      </c>
      <c r="J3" s="82" t="n">
        <v>550</v>
      </c>
      <c r="K3" s="83" t="n">
        <v>25</v>
      </c>
      <c r="L3" s="83" t="n">
        <v>1</v>
      </c>
      <c r="M3" s="82" t="n">
        <v>105</v>
      </c>
      <c r="N3" s="82" t="n">
        <v>600</v>
      </c>
      <c r="O3" s="82" t="n">
        <v>185</v>
      </c>
      <c r="P3" s="82" t="n">
        <v>2563</v>
      </c>
    </row>
    <row r="4" customFormat="false" ht="15" hidden="false" customHeight="false" outlineLevel="0" collapsed="false">
      <c r="A4" s="72" t="s">
        <v>833</v>
      </c>
      <c r="B4" s="72" t="s">
        <v>834</v>
      </c>
      <c r="C4" s="73" t="n">
        <f aca="false">IF(UNIT_SYSTEM="SI",IF(I4="","",I4),IF(J4="","",J4))</f>
        <v>288</v>
      </c>
      <c r="D4" s="75" t="n">
        <f aca="false">IF(UNIT_SYSTEM="SI",IF(K4="","",K4),IF(L4="","",L4))</f>
        <v>25</v>
      </c>
      <c r="E4" s="73" t="n">
        <f aca="false">IF(UNIT_SYSTEM="SI",IF(M4="","",M4),IF(N4="","",N4))</f>
        <v>184</v>
      </c>
      <c r="F4" s="73" t="n">
        <f aca="false">IF(UNIT_SYSTEM="SI",IF(O4="","",O4),IF(P4="","",P4))</f>
        <v>311</v>
      </c>
      <c r="G4" s="75" t="n">
        <v>0.344</v>
      </c>
      <c r="H4" s="72" t="s">
        <v>830</v>
      </c>
      <c r="I4" s="76" t="n">
        <v>288</v>
      </c>
      <c r="J4" s="76" t="n">
        <v>550</v>
      </c>
      <c r="K4" s="77" t="n">
        <v>25</v>
      </c>
      <c r="L4" s="77" t="n">
        <v>1</v>
      </c>
      <c r="M4" s="76" t="n">
        <v>184</v>
      </c>
      <c r="N4" s="76" t="n">
        <v>1050</v>
      </c>
      <c r="O4" s="76" t="n">
        <v>311</v>
      </c>
      <c r="P4" s="76" t="n">
        <v>5400</v>
      </c>
    </row>
    <row r="5" customFormat="false" ht="15" hidden="false" customHeight="false" outlineLevel="0" collapsed="false">
      <c r="A5" s="80" t="s">
        <v>835</v>
      </c>
      <c r="B5" s="80" t="s">
        <v>836</v>
      </c>
      <c r="C5" s="89" t="n">
        <f aca="false">IF(UNIT_SYSTEM="SI",IF(I5="","",I5),IF(J5="","",J5))</f>
        <v>24</v>
      </c>
      <c r="D5" s="89" t="n">
        <f aca="false">IF(UNIT_SYSTEM="SI",IF(K5="","",K5),IF(L5="","",L5))</f>
        <v>25</v>
      </c>
      <c r="E5" s="81" t="n">
        <f aca="false">IF(UNIT_SYSTEM="SI",IF(M5="","",M5),IF(N5="","",N5))</f>
        <v>1138</v>
      </c>
      <c r="F5" s="81" t="n">
        <f aca="false">IF(UNIT_SYSTEM="SI",IF(O5="","",O5),IF(P5="","",P5))</f>
        <v>1070</v>
      </c>
      <c r="G5" s="89" t="n">
        <v>0.519</v>
      </c>
      <c r="H5" s="80" t="s">
        <v>830</v>
      </c>
      <c r="I5" s="83" t="n">
        <v>24</v>
      </c>
      <c r="J5" s="83" t="n">
        <v>75</v>
      </c>
      <c r="K5" s="83" t="n">
        <v>25</v>
      </c>
      <c r="L5" s="83" t="n">
        <v>1</v>
      </c>
      <c r="M5" s="82" t="n">
        <v>1138</v>
      </c>
      <c r="N5" s="82" t="n">
        <v>6500</v>
      </c>
      <c r="O5" s="82" t="n">
        <v>1070</v>
      </c>
      <c r="P5" s="82" t="n">
        <v>32758</v>
      </c>
    </row>
    <row r="6" customFormat="false" ht="15" hidden="false" customHeight="false" outlineLevel="0" collapsed="false">
      <c r="A6" s="72" t="s">
        <v>837</v>
      </c>
      <c r="B6" s="72" t="s">
        <v>838</v>
      </c>
      <c r="C6" s="73" t="n">
        <f aca="false">IF(UNIT_SYSTEM="SI",IF(I6="","",I6),IF(J6="","",J6))</f>
        <v>288</v>
      </c>
      <c r="D6" s="75" t="n">
        <f aca="false">IF(UNIT_SYSTEM="SI",IF(K6="","",K6),IF(L6="","",L6))</f>
        <v>25</v>
      </c>
      <c r="E6" s="73" t="n">
        <f aca="false">IF(UNIT_SYSTEM="SI",IF(M6="","",M6),IF(N6="","",N6))</f>
        <v>173</v>
      </c>
      <c r="F6" s="73" t="n">
        <f aca="false">IF(UNIT_SYSTEM="SI",IF(O6="","",O6),IF(P6="","",P6))</f>
        <v>298</v>
      </c>
      <c r="G6" s="75" t="n">
        <v>0.391</v>
      </c>
      <c r="H6" s="72" t="s">
        <v>830</v>
      </c>
      <c r="I6" s="76" t="n">
        <v>288</v>
      </c>
      <c r="J6" s="76" t="n">
        <v>550</v>
      </c>
      <c r="K6" s="77" t="n">
        <v>25</v>
      </c>
      <c r="L6" s="77" t="n">
        <v>1</v>
      </c>
      <c r="M6" s="76" t="n">
        <v>173</v>
      </c>
      <c r="N6" s="76" t="n">
        <v>990</v>
      </c>
      <c r="O6" s="76" t="n">
        <v>298</v>
      </c>
      <c r="P6" s="76" t="n">
        <v>6033</v>
      </c>
    </row>
    <row r="7" customFormat="false" ht="15" hidden="false" customHeight="false" outlineLevel="0" collapsed="false">
      <c r="A7" s="80" t="s">
        <v>839</v>
      </c>
      <c r="B7" s="80" t="s">
        <v>840</v>
      </c>
      <c r="C7" s="81" t="n">
        <f aca="false">IF(UNIT_SYSTEM="SI",IF(I7="","",I7),IF(J7="","",J7))</f>
        <v>288</v>
      </c>
      <c r="D7" s="89" t="n">
        <f aca="false">IF(UNIT_SYSTEM="SI",IF(K7="","",K7),IF(L7="","",L7))</f>
        <v>25</v>
      </c>
      <c r="E7" s="81" t="n">
        <f aca="false">IF(UNIT_SYSTEM="SI",IF(M7="","",M7),IF(N7="","",N7))</f>
        <v>114</v>
      </c>
      <c r="F7" s="81" t="n">
        <f aca="false">IF(UNIT_SYSTEM="SI",IF(O7="","",O7),IF(P7="","",P7))</f>
        <v>193</v>
      </c>
      <c r="G7" s="89" t="n">
        <v>0.431</v>
      </c>
      <c r="H7" s="80" t="s">
        <v>830</v>
      </c>
      <c r="I7" s="82" t="n">
        <v>288</v>
      </c>
      <c r="J7" s="82" t="n">
        <v>550</v>
      </c>
      <c r="K7" s="83" t="n">
        <v>25</v>
      </c>
      <c r="L7" s="83" t="n">
        <v>1</v>
      </c>
      <c r="M7" s="82" t="n">
        <v>114</v>
      </c>
      <c r="N7" s="82" t="n">
        <v>650</v>
      </c>
      <c r="O7" s="82" t="n">
        <v>193</v>
      </c>
      <c r="P7" s="82" t="n">
        <v>4448</v>
      </c>
    </row>
    <row r="8" customFormat="false" ht="15" hidden="false" customHeight="false" outlineLevel="0" collapsed="false">
      <c r="A8" s="72" t="s">
        <v>841</v>
      </c>
      <c r="B8" s="72" t="s">
        <v>842</v>
      </c>
      <c r="C8" s="73" t="n">
        <f aca="false">IF(UNIT_SYSTEM="SI",IF(I8="","",I8),IF(J8="","",J8))</f>
        <v>288</v>
      </c>
      <c r="D8" s="75" t="n">
        <f aca="false">IF(UNIT_SYSTEM="SI",IF(K8="","",K8),IF(L8="","",L8))</f>
        <v>35</v>
      </c>
      <c r="E8" s="75" t="n">
        <f aca="false">IF(UNIT_SYSTEM="SI",IF(M8="","",M8),IF(N8="","",N8))</f>
        <v>78</v>
      </c>
      <c r="F8" s="73" t="n">
        <f aca="false">IF(UNIT_SYSTEM="SI",IF(O8="","",O8),IF(P8="","",P8))</f>
        <v>208</v>
      </c>
      <c r="G8" s="75" t="n">
        <v>0.329</v>
      </c>
      <c r="H8" s="72" t="s">
        <v>830</v>
      </c>
      <c r="I8" s="76" t="n">
        <v>288</v>
      </c>
      <c r="J8" s="76" t="n">
        <v>550</v>
      </c>
      <c r="K8" s="77" t="n">
        <v>35</v>
      </c>
      <c r="L8" s="77" t="n">
        <v>1.378</v>
      </c>
      <c r="M8" s="77" t="n">
        <v>78</v>
      </c>
      <c r="N8" s="76" t="n">
        <v>446</v>
      </c>
      <c r="O8" s="76" t="n">
        <v>208</v>
      </c>
      <c r="P8" s="76" t="n">
        <v>3443</v>
      </c>
    </row>
    <row r="9" customFormat="false" ht="15" hidden="false" customHeight="false" outlineLevel="0" collapsed="false">
      <c r="A9" s="80" t="s">
        <v>843</v>
      </c>
      <c r="B9" s="80" t="s">
        <v>844</v>
      </c>
      <c r="C9" s="89" t="n">
        <f aca="false">IF(UNIT_SYSTEM="SI",IF(I9="","",I9),IF(J9="","",J9))</f>
        <v>49</v>
      </c>
      <c r="D9" s="89" t="n">
        <f aca="false">IF(UNIT_SYSTEM="SI",IF(K9="","",K9),IF(L9="","",L9))</f>
        <v>14</v>
      </c>
      <c r="E9" s="81" t="n">
        <f aca="false">IF(UNIT_SYSTEM="SI",IF(M9="","",M9),IF(N9="","",N9))</f>
        <v>508</v>
      </c>
      <c r="F9" s="81" t="n">
        <f aca="false">IF(UNIT_SYSTEM="SI",IF(O9="","",O9),IF(P9="","",P9))</f>
        <v>773</v>
      </c>
      <c r="G9" s="89" t="n">
        <v>0.334</v>
      </c>
      <c r="H9" s="80" t="s">
        <v>830</v>
      </c>
      <c r="I9" s="83" t="n">
        <v>49</v>
      </c>
      <c r="J9" s="82" t="n">
        <v>120</v>
      </c>
      <c r="K9" s="83" t="n">
        <v>14</v>
      </c>
      <c r="L9" s="83" t="n">
        <v>0.54</v>
      </c>
      <c r="M9" s="82" t="n">
        <v>508</v>
      </c>
      <c r="N9" s="82" t="n">
        <v>2900</v>
      </c>
      <c r="O9" s="82" t="n">
        <v>773</v>
      </c>
      <c r="P9" s="82" t="n">
        <v>13008</v>
      </c>
    </row>
    <row r="10" customFormat="false" ht="15" hidden="false" customHeight="false" outlineLevel="0" collapsed="false">
      <c r="A10" s="72" t="s">
        <v>845</v>
      </c>
      <c r="B10" s="72" t="s">
        <v>846</v>
      </c>
      <c r="C10" s="75" t="n">
        <f aca="false">IF(UNIT_SYSTEM="SI",IF(I10="","",I10),IF(J10="","",J10))</f>
        <v>24</v>
      </c>
      <c r="D10" s="75" t="n">
        <f aca="false">IF(UNIT_SYSTEM="SI",IF(K10="","",K10),IF(L10="","",L10))</f>
        <v>9</v>
      </c>
      <c r="E10" s="73" t="n">
        <f aca="false">IF(UNIT_SYSTEM="SI",IF(M10="","",M10),IF(N10="","",N10))</f>
        <v>1401</v>
      </c>
      <c r="F10" s="73" t="n">
        <f aca="false">IF(UNIT_SYSTEM="SI",IF(O10="","",O10),IF(P10="","",P10))</f>
        <v>1443</v>
      </c>
      <c r="G10" s="75" t="n">
        <v>0.435</v>
      </c>
      <c r="H10" s="72" t="s">
        <v>830</v>
      </c>
      <c r="I10" s="77" t="n">
        <v>24</v>
      </c>
      <c r="J10" s="77" t="n">
        <v>75</v>
      </c>
      <c r="K10" s="77" t="n">
        <v>9</v>
      </c>
      <c r="L10" s="77" t="n">
        <v>0.34</v>
      </c>
      <c r="M10" s="76" t="n">
        <v>1401</v>
      </c>
      <c r="N10" s="76" t="n">
        <v>8000</v>
      </c>
      <c r="O10" s="76" t="n">
        <v>1443</v>
      </c>
      <c r="P10" s="76" t="n">
        <v>33642</v>
      </c>
    </row>
    <row r="12" customFormat="false" ht="15" hidden="false" customHeight="false" outlineLevel="0" collapsed="false">
      <c r="A12" s="87" t="s">
        <v>847</v>
      </c>
    </row>
  </sheetData>
  <autoFilter ref="A1:P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34"/>
  </cols>
  <sheetData>
    <row r="1" customFormat="false" ht="30" hidden="false" customHeight="true" outlineLevel="0" collapsed="false">
      <c r="A1" s="70" t="s">
        <v>848</v>
      </c>
      <c r="B1" s="70" t="s">
        <v>849</v>
      </c>
    </row>
    <row r="2" customFormat="false" ht="15" hidden="false" customHeight="false" outlineLevel="0" collapsed="false">
      <c r="A2" s="72" t="s">
        <v>850</v>
      </c>
      <c r="B2" s="72" t="s">
        <v>851</v>
      </c>
    </row>
    <row r="3" customFormat="false" ht="15" hidden="false" customHeight="false" outlineLevel="0" collapsed="false">
      <c r="A3" s="80" t="s">
        <v>852</v>
      </c>
      <c r="B3" s="80" t="s">
        <v>853</v>
      </c>
    </row>
    <row r="4" customFormat="false" ht="15" hidden="false" customHeight="false" outlineLevel="0" collapsed="false">
      <c r="A4" s="72" t="s">
        <v>854</v>
      </c>
      <c r="B4" s="72" t="s">
        <v>855</v>
      </c>
    </row>
    <row r="5" customFormat="false" ht="15" hidden="false" customHeight="false" outlineLevel="0" collapsed="false">
      <c r="A5" s="80" t="s">
        <v>856</v>
      </c>
      <c r="B5" s="80" t="s">
        <v>857</v>
      </c>
    </row>
    <row r="6" customFormat="false" ht="15" hidden="false" customHeight="false" outlineLevel="0" collapsed="false">
      <c r="A6" s="72" t="s">
        <v>858</v>
      </c>
      <c r="B6" s="72" t="s">
        <v>859</v>
      </c>
    </row>
    <row r="7" customFormat="false" ht="15" hidden="false" customHeight="false" outlineLevel="0" collapsed="false">
      <c r="A7" s="80" t="s">
        <v>860</v>
      </c>
      <c r="B7" s="80" t="s">
        <v>861</v>
      </c>
    </row>
    <row r="9" customFormat="false" ht="15" hidden="false" customHeight="false" outlineLevel="0" collapsed="false">
      <c r="A9" s="87" t="s">
        <v>862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B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7" min="5" style="0" width="14"/>
    <col collapsed="false" customWidth="true" hidden="false" outlineLevel="0" max="8" min="8" style="0" width="21"/>
    <col collapsed="false" customWidth="true" hidden="false" outlineLevel="0" max="11" min="9" style="0" width="14"/>
    <col collapsed="false" customWidth="true" hidden="false" outlineLevel="0" max="12" min="12" style="0" width="24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20"/>
    <col collapsed="false" customWidth="true" hidden="false" outlineLevel="0" max="20" min="16" style="0" width="14"/>
    <col collapsed="false" customWidth="true" hidden="false" outlineLevel="0" max="21" min="21" style="0" width="17"/>
    <col collapsed="false" customWidth="true" hidden="false" outlineLevel="0" max="22" min="22" style="0" width="14"/>
    <col collapsed="false" customWidth="true" hidden="false" outlineLevel="0" max="23" min="23" style="0" width="18"/>
    <col collapsed="false" customWidth="true" hidden="false" outlineLevel="0" max="25" min="24" style="0" width="14"/>
    <col collapsed="false" customWidth="true" hidden="false" outlineLevel="0" max="26" min="26" style="0" width="18"/>
    <col collapsed="false" customWidth="true" hidden="false" outlineLevel="0" max="27" min="27" style="0" width="93"/>
    <col collapsed="false" customWidth="true" hidden="false" outlineLevel="0" max="28" min="28" style="0" width="50"/>
    <col collapsed="false" customWidth="true" hidden="false" outlineLevel="0" max="29" min="29" style="0" width="44"/>
    <col collapsed="false" customWidth="true" hidden="false" outlineLevel="0" max="30" min="30" style="0" width="50"/>
    <col collapsed="false" customWidth="true" hidden="false" outlineLevel="0" max="32" min="31" style="0" width="14"/>
    <col collapsed="false" customWidth="true" hidden="false" outlineLevel="0" max="33" min="33" style="0" width="21"/>
    <col collapsed="false" customWidth="true" hidden="false" outlineLevel="0" max="35" min="34" style="0" width="15"/>
    <col collapsed="false" customWidth="true" hidden="false" outlineLevel="0" max="36" min="36" style="0" width="14"/>
    <col collapsed="false" customWidth="true" hidden="false" outlineLevel="0" max="37" min="37" style="0" width="33"/>
    <col collapsed="false" customWidth="true" hidden="false" outlineLevel="0" max="38" min="38" style="0" width="14"/>
    <col collapsed="false" customWidth="true" hidden="false" outlineLevel="0" max="39" min="39" style="0" width="21"/>
    <col collapsed="false" customWidth="true" hidden="false" outlineLevel="0" max="40" min="40" style="0" width="17"/>
    <col collapsed="false" customWidth="true" hidden="false" outlineLevel="0" max="41" min="41" style="0" width="24"/>
    <col collapsed="false" customWidth="true" hidden="false" outlineLevel="0" max="44" min="42" style="0" width="14"/>
    <col collapsed="false" customWidth="true" hidden="false" outlineLevel="0" max="45" min="45" style="0" width="15"/>
    <col collapsed="false" customWidth="true" hidden="false" outlineLevel="0" max="46" min="46" style="0" width="14"/>
    <col collapsed="false" customWidth="true" hidden="false" outlineLevel="0" max="47" min="47" style="0" width="20"/>
    <col collapsed="false" customWidth="true" hidden="false" outlineLevel="0" max="48" min="48" style="0" width="14"/>
    <col collapsed="false" customWidth="true" hidden="false" outlineLevel="0" max="49" min="49" style="0" width="22"/>
    <col collapsed="false" customWidth="true" hidden="false" outlineLevel="0" max="52" min="50" style="0" width="18"/>
    <col collapsed="false" customWidth="true" hidden="false" outlineLevel="0" max="53" min="53" style="0" width="21"/>
    <col collapsed="false" customWidth="true" hidden="false" outlineLevel="0" max="54" min="54" style="0" width="19"/>
    <col collapsed="false" customWidth="true" hidden="false" outlineLevel="0" max="55" min="55" style="0" width="18"/>
    <col collapsed="false" customWidth="true" hidden="false" outlineLevel="0" max="58" min="56" style="0" width="14"/>
    <col collapsed="false" customWidth="true" hidden="false" outlineLevel="0" max="59" min="59" style="0" width="28"/>
  </cols>
  <sheetData>
    <row r="1" customFormat="false" ht="23.85" hidden="false" customHeight="false" outlineLevel="0" collapsed="false">
      <c r="A1" s="95" t="s">
        <v>863</v>
      </c>
      <c r="B1" s="95" t="s">
        <v>864</v>
      </c>
      <c r="C1" s="95" t="s">
        <v>865</v>
      </c>
      <c r="D1" s="95" t="s">
        <v>866</v>
      </c>
      <c r="E1" s="95" t="s">
        <v>867</v>
      </c>
      <c r="F1" s="95" t="s">
        <v>868</v>
      </c>
      <c r="G1" s="95" t="s">
        <v>869</v>
      </c>
      <c r="H1" s="95" t="s">
        <v>870</v>
      </c>
      <c r="I1" s="95" t="s">
        <v>871</v>
      </c>
      <c r="J1" s="95" t="s">
        <v>872</v>
      </c>
      <c r="K1" s="95" t="s">
        <v>873</v>
      </c>
      <c r="L1" s="95" t="s">
        <v>874</v>
      </c>
      <c r="M1" s="95" t="s">
        <v>875</v>
      </c>
      <c r="N1" s="95" t="s">
        <v>876</v>
      </c>
      <c r="O1" s="95" t="s">
        <v>877</v>
      </c>
      <c r="P1" s="95" t="s">
        <v>878</v>
      </c>
      <c r="Q1" s="95" t="s">
        <v>879</v>
      </c>
      <c r="R1" s="95" t="s">
        <v>880</v>
      </c>
      <c r="S1" s="95" t="s">
        <v>881</v>
      </c>
      <c r="T1" s="95" t="s">
        <v>882</v>
      </c>
      <c r="U1" s="95" t="s">
        <v>883</v>
      </c>
      <c r="V1" s="95" t="s">
        <v>884</v>
      </c>
      <c r="W1" s="95" t="s">
        <v>885</v>
      </c>
      <c r="X1" s="95" t="s">
        <v>886</v>
      </c>
      <c r="Y1" s="95" t="s">
        <v>887</v>
      </c>
      <c r="Z1" s="95" t="s">
        <v>888</v>
      </c>
      <c r="AA1" s="95" t="s">
        <v>889</v>
      </c>
      <c r="AB1" s="95" t="s">
        <v>890</v>
      </c>
      <c r="AC1" s="95" t="s">
        <v>891</v>
      </c>
      <c r="AD1" s="95" t="s">
        <v>892</v>
      </c>
      <c r="AE1" s="95" t="s">
        <v>893</v>
      </c>
      <c r="AF1" s="95" t="s">
        <v>894</v>
      </c>
      <c r="AG1" s="95" t="s">
        <v>895</v>
      </c>
      <c r="AH1" s="95" t="s">
        <v>896</v>
      </c>
      <c r="AI1" s="95" t="s">
        <v>897</v>
      </c>
      <c r="AJ1" s="95" t="s">
        <v>898</v>
      </c>
      <c r="AK1" s="95" t="s">
        <v>899</v>
      </c>
      <c r="AL1" s="95" t="s">
        <v>900</v>
      </c>
      <c r="AM1" s="95" t="s">
        <v>901</v>
      </c>
      <c r="AN1" s="95" t="s">
        <v>902</v>
      </c>
      <c r="AO1" s="95" t="s">
        <v>903</v>
      </c>
      <c r="AP1" s="95" t="s">
        <v>904</v>
      </c>
      <c r="AQ1" s="95" t="s">
        <v>905</v>
      </c>
      <c r="AR1" s="95" t="s">
        <v>906</v>
      </c>
      <c r="AS1" s="95" t="s">
        <v>907</v>
      </c>
      <c r="AT1" s="95" t="s">
        <v>908</v>
      </c>
      <c r="AU1" s="95" t="s">
        <v>909</v>
      </c>
      <c r="AV1" s="95" t="s">
        <v>910</v>
      </c>
      <c r="AW1" s="95" t="s">
        <v>911</v>
      </c>
      <c r="AX1" s="95" t="s">
        <v>912</v>
      </c>
      <c r="AY1" s="95" t="s">
        <v>913</v>
      </c>
      <c r="AZ1" s="95" t="s">
        <v>914</v>
      </c>
      <c r="BA1" s="95" t="s">
        <v>915</v>
      </c>
      <c r="BB1" s="95" t="s">
        <v>916</v>
      </c>
      <c r="BC1" s="95" t="s">
        <v>917</v>
      </c>
      <c r="BD1" s="95" t="s">
        <v>918</v>
      </c>
      <c r="BE1" s="95" t="s">
        <v>919</v>
      </c>
      <c r="BF1" s="95" t="s">
        <v>920</v>
      </c>
      <c r="BG1" s="95" t="s">
        <v>921</v>
      </c>
    </row>
    <row r="2" customFormat="false" ht="15" hidden="false" customHeight="false" outlineLevel="0" collapsed="false">
      <c r="A2" s="80" t="s">
        <v>922</v>
      </c>
      <c r="B2" s="80" t="s">
        <v>923</v>
      </c>
      <c r="C2" s="80" t="s">
        <v>123</v>
      </c>
      <c r="D2" s="80" t="s">
        <v>135</v>
      </c>
      <c r="E2" s="80" t="s">
        <v>137</v>
      </c>
      <c r="F2" s="80" t="s">
        <v>129</v>
      </c>
      <c r="G2" s="80" t="s">
        <v>305</v>
      </c>
      <c r="H2" s="80" t="s">
        <v>150</v>
      </c>
      <c r="I2" s="80" t="s">
        <v>164</v>
      </c>
      <c r="J2" s="80" t="s">
        <v>166</v>
      </c>
      <c r="K2" s="80" t="s">
        <v>166</v>
      </c>
      <c r="L2" s="80" t="s">
        <v>924</v>
      </c>
      <c r="M2" s="80" t="s">
        <v>135</v>
      </c>
      <c r="N2" s="80" t="s">
        <v>174</v>
      </c>
      <c r="O2" s="80" t="s">
        <v>924</v>
      </c>
      <c r="P2" s="80" t="s">
        <v>187</v>
      </c>
      <c r="Q2" s="80" t="s">
        <v>197</v>
      </c>
      <c r="R2" s="80" t="s">
        <v>201</v>
      </c>
      <c r="S2" s="80" t="s">
        <v>201</v>
      </c>
      <c r="T2" s="80" t="s">
        <v>353</v>
      </c>
      <c r="U2" s="80" t="s">
        <v>220</v>
      </c>
      <c r="V2" s="80" t="s">
        <v>925</v>
      </c>
      <c r="W2" s="80" t="s">
        <v>247</v>
      </c>
      <c r="X2" s="80" t="s">
        <v>250</v>
      </c>
      <c r="Y2" s="80" t="s">
        <v>197</v>
      </c>
      <c r="Z2" s="80" t="s">
        <v>926</v>
      </c>
      <c r="AA2" s="80" t="s">
        <v>270</v>
      </c>
      <c r="AB2" s="80" t="s">
        <v>927</v>
      </c>
      <c r="AC2" s="80" t="s">
        <v>927</v>
      </c>
      <c r="AD2" s="80" t="s">
        <v>927</v>
      </c>
      <c r="AE2" s="80" t="s">
        <v>201</v>
      </c>
      <c r="AF2" s="80" t="s">
        <v>201</v>
      </c>
      <c r="AG2" s="80" t="s">
        <v>322</v>
      </c>
      <c r="AH2" s="80" t="s">
        <v>330</v>
      </c>
      <c r="AI2" s="80" t="s">
        <v>332</v>
      </c>
      <c r="AJ2" s="80" t="s">
        <v>201</v>
      </c>
      <c r="AK2" s="80" t="s">
        <v>340</v>
      </c>
      <c r="AL2" s="80" t="s">
        <v>326</v>
      </c>
      <c r="AM2" s="80" t="s">
        <v>328</v>
      </c>
      <c r="AN2" s="80" t="s">
        <v>94</v>
      </c>
      <c r="AO2" s="80" t="s">
        <v>368</v>
      </c>
      <c r="AP2" s="80" t="n">
        <v>110</v>
      </c>
      <c r="AQ2" s="80" t="n">
        <v>0.05</v>
      </c>
      <c r="AR2" s="80" t="n">
        <v>1</v>
      </c>
      <c r="AS2" s="80" t="n">
        <v>0.25</v>
      </c>
      <c r="AT2" s="80" t="n">
        <v>0.9</v>
      </c>
      <c r="AU2" s="80" t="s">
        <v>470</v>
      </c>
      <c r="AV2" s="80" t="s">
        <v>414</v>
      </c>
      <c r="AW2" s="80" t="s">
        <v>417</v>
      </c>
      <c r="AX2" s="80" t="s">
        <v>97</v>
      </c>
      <c r="AY2" s="80" t="s">
        <v>97</v>
      </c>
      <c r="AZ2" s="80" t="s">
        <v>470</v>
      </c>
      <c r="BA2" s="80" t="s">
        <v>541</v>
      </c>
      <c r="BB2" s="80" t="s">
        <v>569</v>
      </c>
      <c r="BC2" s="80" t="s">
        <v>97</v>
      </c>
      <c r="BD2" s="80" t="n">
        <v>110</v>
      </c>
      <c r="BE2" s="80" t="n">
        <v>100</v>
      </c>
      <c r="BF2" s="80" t="s">
        <v>3</v>
      </c>
      <c r="BG2" s="80" t="s">
        <v>232</v>
      </c>
    </row>
    <row r="3" customFormat="false" ht="15" hidden="false" customHeight="false" outlineLevel="0" collapsed="false">
      <c r="A3" s="80" t="s">
        <v>928</v>
      </c>
      <c r="B3" s="80" t="s">
        <v>929</v>
      </c>
      <c r="C3" s="80" t="s">
        <v>930</v>
      </c>
      <c r="D3" s="80" t="s">
        <v>771</v>
      </c>
      <c r="E3" s="80" t="s">
        <v>931</v>
      </c>
      <c r="F3" s="80" t="s">
        <v>932</v>
      </c>
      <c r="G3" s="80" t="s">
        <v>403</v>
      </c>
      <c r="H3" s="80" t="s">
        <v>701</v>
      </c>
      <c r="I3" s="80" t="s">
        <v>744</v>
      </c>
      <c r="J3" s="80" t="s">
        <v>933</v>
      </c>
      <c r="K3" s="80" t="s">
        <v>934</v>
      </c>
      <c r="L3" s="80" t="s">
        <v>170</v>
      </c>
      <c r="M3" s="80" t="s">
        <v>353</v>
      </c>
      <c r="N3" s="80" t="s">
        <v>935</v>
      </c>
      <c r="O3" s="80" t="s">
        <v>182</v>
      </c>
      <c r="P3" s="80" t="s">
        <v>936</v>
      </c>
      <c r="Q3" s="80" t="s">
        <v>937</v>
      </c>
      <c r="R3" s="80" t="s">
        <v>938</v>
      </c>
      <c r="S3" s="80" t="s">
        <v>939</v>
      </c>
      <c r="T3" s="80" t="s">
        <v>207</v>
      </c>
      <c r="U3" s="80" t="s">
        <v>940</v>
      </c>
      <c r="V3" s="80" t="s">
        <v>941</v>
      </c>
      <c r="W3" s="80" t="s">
        <v>942</v>
      </c>
      <c r="X3" s="80" t="s">
        <v>943</v>
      </c>
      <c r="Y3" s="80" t="s">
        <v>944</v>
      </c>
      <c r="Z3" s="80" t="s">
        <v>945</v>
      </c>
      <c r="AA3" s="80" t="s">
        <v>946</v>
      </c>
      <c r="AB3" s="80" t="s">
        <v>273</v>
      </c>
      <c r="AC3" s="80" t="s">
        <v>273</v>
      </c>
      <c r="AD3" s="80" t="s">
        <v>947</v>
      </c>
      <c r="AE3" s="80" t="s">
        <v>312</v>
      </c>
      <c r="AF3" s="80" t="s">
        <v>312</v>
      </c>
      <c r="AG3" s="80" t="s">
        <v>948</v>
      </c>
      <c r="AH3" s="80" t="s">
        <v>949</v>
      </c>
      <c r="AI3" s="80" t="s">
        <v>950</v>
      </c>
      <c r="AK3" s="80" t="s">
        <v>951</v>
      </c>
      <c r="AL3" s="80" t="s">
        <v>952</v>
      </c>
      <c r="AM3" s="80" t="s">
        <v>953</v>
      </c>
      <c r="AN3" s="80" t="s">
        <v>473</v>
      </c>
      <c r="AO3" s="80" t="s">
        <v>954</v>
      </c>
      <c r="AP3" s="80" t="n">
        <v>220</v>
      </c>
      <c r="AQ3" s="80" t="n">
        <v>0.01</v>
      </c>
      <c r="AR3" s="80" t="n">
        <v>1.5</v>
      </c>
      <c r="AS3" s="80" t="n">
        <v>0.33</v>
      </c>
      <c r="AT3" s="80" t="n">
        <v>0.95</v>
      </c>
      <c r="AU3" s="80" t="s">
        <v>955</v>
      </c>
      <c r="AV3" s="80" t="s">
        <v>956</v>
      </c>
      <c r="AW3" s="80" t="s">
        <v>831</v>
      </c>
      <c r="AX3" s="80" t="s">
        <v>470</v>
      </c>
      <c r="AY3" s="80" t="s">
        <v>470</v>
      </c>
      <c r="AZ3" s="80" t="s">
        <v>478</v>
      </c>
      <c r="BA3" s="80" t="s">
        <v>548</v>
      </c>
      <c r="BB3" s="80" t="s">
        <v>576</v>
      </c>
      <c r="BD3" s="80" t="n">
        <v>220</v>
      </c>
      <c r="BE3" s="80" t="n">
        <v>200</v>
      </c>
      <c r="BF3" s="80" t="s">
        <v>957</v>
      </c>
      <c r="BG3" s="80" t="s">
        <v>468</v>
      </c>
    </row>
    <row r="4" customFormat="false" ht="15" hidden="false" customHeight="false" outlineLevel="0" collapsed="false">
      <c r="D4" s="80" t="s">
        <v>564</v>
      </c>
      <c r="H4" s="80" t="s">
        <v>574</v>
      </c>
      <c r="I4" s="80" t="s">
        <v>745</v>
      </c>
      <c r="L4" s="80" t="s">
        <v>958</v>
      </c>
      <c r="M4" s="80" t="s">
        <v>207</v>
      </c>
      <c r="O4" s="80" t="s">
        <v>959</v>
      </c>
      <c r="S4" s="80" t="s">
        <v>960</v>
      </c>
      <c r="U4" s="80" t="s">
        <v>961</v>
      </c>
      <c r="V4" s="80" t="s">
        <v>222</v>
      </c>
      <c r="W4" s="80" t="s">
        <v>962</v>
      </c>
      <c r="Y4" s="80" t="s">
        <v>201</v>
      </c>
      <c r="AB4" s="80" t="s">
        <v>947</v>
      </c>
      <c r="AE4" s="80" t="s">
        <v>797</v>
      </c>
      <c r="AF4" s="80" t="s">
        <v>797</v>
      </c>
      <c r="AH4" s="80" t="s">
        <v>809</v>
      </c>
      <c r="AL4" s="80" t="s">
        <v>963</v>
      </c>
      <c r="AM4" s="80" t="s">
        <v>964</v>
      </c>
      <c r="AN4" s="80" t="s">
        <v>545</v>
      </c>
      <c r="AP4" s="80" t="n">
        <v>100</v>
      </c>
      <c r="AQ4" s="80" t="n">
        <v>0.1</v>
      </c>
      <c r="AR4" s="80" t="n">
        <v>2</v>
      </c>
      <c r="AS4" s="80" t="n">
        <v>0.5</v>
      </c>
      <c r="AT4" s="80" t="n">
        <v>0.99</v>
      </c>
      <c r="AU4" s="80" t="s">
        <v>965</v>
      </c>
      <c r="AV4" s="80" t="s">
        <v>966</v>
      </c>
      <c r="AW4" s="80" t="s">
        <v>833</v>
      </c>
      <c r="AX4" s="80" t="s">
        <v>478</v>
      </c>
      <c r="AY4" s="80" t="s">
        <v>478</v>
      </c>
      <c r="AZ4" s="80" t="s">
        <v>483</v>
      </c>
      <c r="BA4" s="80" t="s">
        <v>551</v>
      </c>
      <c r="BB4" s="80" t="s">
        <v>578</v>
      </c>
      <c r="BG4" s="80" t="s">
        <v>606</v>
      </c>
    </row>
    <row r="5" customFormat="false" ht="15" hidden="false" customHeight="false" outlineLevel="0" collapsed="false">
      <c r="D5" s="80" t="s">
        <v>474</v>
      </c>
      <c r="H5" s="80" t="s">
        <v>476</v>
      </c>
      <c r="L5" s="80" t="s">
        <v>967</v>
      </c>
      <c r="M5" s="80" t="s">
        <v>354</v>
      </c>
      <c r="S5" s="80" t="s">
        <v>937</v>
      </c>
      <c r="AF5" s="80" t="s">
        <v>968</v>
      </c>
      <c r="AL5" s="80" t="s">
        <v>969</v>
      </c>
      <c r="AN5" s="80" t="s">
        <v>572</v>
      </c>
      <c r="AP5" s="80" t="n">
        <v>200</v>
      </c>
      <c r="AQ5" s="80" t="n">
        <v>0.5</v>
      </c>
      <c r="AR5" s="80" t="n">
        <v>3</v>
      </c>
      <c r="AS5" s="80" t="n">
        <v>1</v>
      </c>
      <c r="AU5" s="80" t="s">
        <v>970</v>
      </c>
      <c r="AW5" s="80" t="s">
        <v>835</v>
      </c>
      <c r="AX5" s="80" t="s">
        <v>483</v>
      </c>
      <c r="AY5" s="80" t="s">
        <v>483</v>
      </c>
      <c r="AZ5" s="80" t="s">
        <v>487</v>
      </c>
      <c r="BA5" s="80" t="s">
        <v>554</v>
      </c>
      <c r="BB5" s="80" t="s">
        <v>579</v>
      </c>
      <c r="BG5" s="80" t="s">
        <v>609</v>
      </c>
    </row>
    <row r="6" customFormat="false" ht="15" hidden="false" customHeight="false" outlineLevel="0" collapsed="false">
      <c r="D6" s="80" t="s">
        <v>572</v>
      </c>
      <c r="H6" s="80" t="s">
        <v>546</v>
      </c>
      <c r="M6" s="80" t="s">
        <v>355</v>
      </c>
      <c r="AL6" s="80" t="s">
        <v>971</v>
      </c>
      <c r="AN6" s="80" t="s">
        <v>463</v>
      </c>
      <c r="AR6" s="80" t="n">
        <v>4</v>
      </c>
      <c r="AU6" s="80" t="s">
        <v>972</v>
      </c>
      <c r="AW6" s="80" t="s">
        <v>837</v>
      </c>
      <c r="AX6" s="80" t="s">
        <v>487</v>
      </c>
      <c r="AY6" s="80" t="s">
        <v>487</v>
      </c>
      <c r="AZ6" s="80" t="s">
        <v>490</v>
      </c>
      <c r="BA6" s="80" t="s">
        <v>556</v>
      </c>
      <c r="BB6" s="80" t="s">
        <v>581</v>
      </c>
      <c r="BG6" s="80" t="s">
        <v>475</v>
      </c>
    </row>
    <row r="7" customFormat="false" ht="15" hidden="false" customHeight="false" outlineLevel="0" collapsed="false">
      <c r="D7" s="80" t="s">
        <v>467</v>
      </c>
      <c r="H7" s="80" t="s">
        <v>712</v>
      </c>
      <c r="AU7" s="80" t="s">
        <v>973</v>
      </c>
      <c r="AW7" s="80" t="s">
        <v>839</v>
      </c>
      <c r="AX7" s="80" t="s">
        <v>490</v>
      </c>
      <c r="AY7" s="80" t="s">
        <v>490</v>
      </c>
      <c r="AZ7" s="80" t="s">
        <v>494</v>
      </c>
      <c r="BA7" s="80" t="s">
        <v>560</v>
      </c>
      <c r="BB7" s="80" t="s">
        <v>582</v>
      </c>
      <c r="BG7" s="80" t="s">
        <v>573</v>
      </c>
    </row>
    <row r="8" customFormat="false" ht="15" hidden="false" customHeight="false" outlineLevel="0" collapsed="false">
      <c r="D8" s="80" t="s">
        <v>783</v>
      </c>
      <c r="H8" s="80" t="s">
        <v>716</v>
      </c>
      <c r="AU8" s="80" t="s">
        <v>974</v>
      </c>
      <c r="AW8" s="80" t="s">
        <v>841</v>
      </c>
      <c r="AX8" s="80" t="s">
        <v>494</v>
      </c>
      <c r="AY8" s="80" t="s">
        <v>494</v>
      </c>
      <c r="AZ8" s="80" t="s">
        <v>495</v>
      </c>
      <c r="BA8" s="80" t="s">
        <v>566</v>
      </c>
      <c r="BB8" s="80" t="s">
        <v>583</v>
      </c>
      <c r="BG8" s="80" t="s">
        <v>617</v>
      </c>
    </row>
    <row r="9" customFormat="false" ht="15" hidden="false" customHeight="false" outlineLevel="0" collapsed="false">
      <c r="H9" s="80" t="s">
        <v>719</v>
      </c>
      <c r="AU9" s="80" t="s">
        <v>318</v>
      </c>
      <c r="AW9" s="80" t="s">
        <v>843</v>
      </c>
      <c r="AX9" s="80" t="s">
        <v>495</v>
      </c>
      <c r="AY9" s="80" t="s">
        <v>495</v>
      </c>
      <c r="AZ9" s="80" t="s">
        <v>497</v>
      </c>
      <c r="BB9" s="80" t="s">
        <v>586</v>
      </c>
      <c r="BG9" s="80" t="s">
        <v>621</v>
      </c>
    </row>
    <row r="10" customFormat="false" ht="15" hidden="false" customHeight="false" outlineLevel="0" collapsed="false">
      <c r="H10" s="80" t="s">
        <v>722</v>
      </c>
      <c r="AU10" s="80" t="s">
        <v>975</v>
      </c>
      <c r="AW10" s="80" t="s">
        <v>845</v>
      </c>
      <c r="AX10" s="80" t="s">
        <v>497</v>
      </c>
      <c r="AY10" s="80" t="s">
        <v>497</v>
      </c>
      <c r="AZ10" s="80" t="s">
        <v>498</v>
      </c>
      <c r="BG10" s="80" t="s">
        <v>623</v>
      </c>
    </row>
    <row r="11" customFormat="false" ht="15" hidden="false" customHeight="false" outlineLevel="0" collapsed="false">
      <c r="AU11" s="80" t="s">
        <v>976</v>
      </c>
      <c r="AX11" s="80" t="s">
        <v>498</v>
      </c>
      <c r="AY11" s="80" t="s">
        <v>498</v>
      </c>
      <c r="AZ11" s="80" t="s">
        <v>500</v>
      </c>
      <c r="BG11" s="80" t="s">
        <v>626</v>
      </c>
    </row>
    <row r="12" customFormat="false" ht="15" hidden="false" customHeight="false" outlineLevel="0" collapsed="false">
      <c r="AU12" s="80" t="s">
        <v>977</v>
      </c>
      <c r="AX12" s="80" t="s">
        <v>500</v>
      </c>
      <c r="AY12" s="80" t="s">
        <v>500</v>
      </c>
      <c r="AZ12" s="80" t="s">
        <v>504</v>
      </c>
      <c r="BG12" s="80" t="s">
        <v>630</v>
      </c>
    </row>
    <row r="13" customFormat="false" ht="15" hidden="false" customHeight="false" outlineLevel="0" collapsed="false">
      <c r="AU13" s="80" t="s">
        <v>978</v>
      </c>
      <c r="AX13" s="80" t="s">
        <v>504</v>
      </c>
      <c r="AY13" s="80" t="s">
        <v>504</v>
      </c>
      <c r="AZ13" s="80" t="s">
        <v>509</v>
      </c>
      <c r="BG13" s="80" t="s">
        <v>633</v>
      </c>
    </row>
    <row r="14" customFormat="false" ht="15" hidden="false" customHeight="false" outlineLevel="0" collapsed="false">
      <c r="AU14" s="80" t="s">
        <v>979</v>
      </c>
      <c r="AX14" s="80" t="s">
        <v>509</v>
      </c>
      <c r="AY14" s="80" t="s">
        <v>509</v>
      </c>
      <c r="AZ14" s="80" t="s">
        <v>510</v>
      </c>
      <c r="BG14" s="80" t="s">
        <v>635</v>
      </c>
    </row>
    <row r="15" customFormat="false" ht="15" hidden="false" customHeight="false" outlineLevel="0" collapsed="false">
      <c r="AU15" s="80" t="s">
        <v>980</v>
      </c>
      <c r="AX15" s="80" t="s">
        <v>510</v>
      </c>
      <c r="AY15" s="80" t="s">
        <v>510</v>
      </c>
      <c r="AZ15" s="80" t="s">
        <v>513</v>
      </c>
      <c r="BG15" s="80" t="s">
        <v>640</v>
      </c>
    </row>
    <row r="16" customFormat="false" ht="15" hidden="false" customHeight="false" outlineLevel="0" collapsed="false">
      <c r="AU16" s="80" t="s">
        <v>521</v>
      </c>
      <c r="AX16" s="80" t="s">
        <v>513</v>
      </c>
      <c r="AY16" s="80" t="s">
        <v>513</v>
      </c>
      <c r="AZ16" s="80" t="s">
        <v>516</v>
      </c>
      <c r="BG16" s="80" t="s">
        <v>643</v>
      </c>
    </row>
    <row r="17" customFormat="false" ht="15" hidden="false" customHeight="false" outlineLevel="0" collapsed="false">
      <c r="AU17" s="80" t="s">
        <v>981</v>
      </c>
      <c r="AX17" s="80" t="s">
        <v>516</v>
      </c>
      <c r="AY17" s="80" t="s">
        <v>516</v>
      </c>
      <c r="AZ17" s="80" t="s">
        <v>521</v>
      </c>
      <c r="BG17" s="80" t="s">
        <v>646</v>
      </c>
    </row>
    <row r="18" customFormat="false" ht="15" hidden="false" customHeight="false" outlineLevel="0" collapsed="false">
      <c r="AU18" s="80" t="s">
        <v>982</v>
      </c>
      <c r="AX18" s="80" t="s">
        <v>521</v>
      </c>
      <c r="AY18" s="80" t="s">
        <v>521</v>
      </c>
      <c r="AZ18" s="80" t="s">
        <v>525</v>
      </c>
      <c r="BG18" s="80" t="s">
        <v>648</v>
      </c>
    </row>
    <row r="19" customFormat="false" ht="15" hidden="false" customHeight="false" outlineLevel="0" collapsed="false">
      <c r="AU19" s="80" t="s">
        <v>983</v>
      </c>
      <c r="AX19" s="80" t="s">
        <v>525</v>
      </c>
      <c r="AY19" s="80" t="s">
        <v>525</v>
      </c>
      <c r="AZ19" s="80" t="s">
        <v>529</v>
      </c>
      <c r="BG19" s="80" t="s">
        <v>650</v>
      </c>
    </row>
    <row r="20" customFormat="false" ht="15" hidden="false" customHeight="false" outlineLevel="0" collapsed="false">
      <c r="AU20" s="80" t="s">
        <v>984</v>
      </c>
      <c r="AX20" s="80" t="s">
        <v>529</v>
      </c>
      <c r="AY20" s="80" t="s">
        <v>529</v>
      </c>
      <c r="AZ20" s="80" t="s">
        <v>534</v>
      </c>
      <c r="BG20" s="80" t="s">
        <v>652</v>
      </c>
    </row>
    <row r="21" customFormat="false" ht="15" hidden="false" customHeight="false" outlineLevel="0" collapsed="false">
      <c r="AU21" s="80" t="s">
        <v>985</v>
      </c>
      <c r="AX21" s="80" t="s">
        <v>534</v>
      </c>
      <c r="AY21" s="80" t="s">
        <v>534</v>
      </c>
      <c r="AZ21" s="80" t="s">
        <v>536</v>
      </c>
      <c r="BG21" s="80" t="s">
        <v>654</v>
      </c>
    </row>
    <row r="22" customFormat="false" ht="15" hidden="false" customHeight="false" outlineLevel="0" collapsed="false">
      <c r="AU22" s="80" t="s">
        <v>986</v>
      </c>
      <c r="AX22" s="80" t="s">
        <v>536</v>
      </c>
      <c r="AY22" s="80" t="s">
        <v>536</v>
      </c>
      <c r="AZ22" s="80" t="s">
        <v>539</v>
      </c>
      <c r="BG22" s="80" t="s">
        <v>656</v>
      </c>
    </row>
    <row r="23" customFormat="false" ht="15" hidden="false" customHeight="false" outlineLevel="0" collapsed="false">
      <c r="AU23" s="80" t="s">
        <v>987</v>
      </c>
      <c r="AX23" s="80" t="s">
        <v>539</v>
      </c>
      <c r="AY23" s="80" t="s">
        <v>539</v>
      </c>
      <c r="BG23" s="80" t="s">
        <v>659</v>
      </c>
    </row>
    <row r="24" customFormat="false" ht="15" hidden="false" customHeight="false" outlineLevel="0" collapsed="false">
      <c r="AU24" s="80" t="s">
        <v>988</v>
      </c>
      <c r="AX24" s="80" t="s">
        <v>541</v>
      </c>
      <c r="AY24" s="80" t="s">
        <v>541</v>
      </c>
      <c r="BG24" s="80" t="s">
        <v>661</v>
      </c>
    </row>
    <row r="25" customFormat="false" ht="15" hidden="false" customHeight="false" outlineLevel="0" collapsed="false">
      <c r="AU25" s="80" t="s">
        <v>989</v>
      </c>
      <c r="AX25" s="80" t="s">
        <v>548</v>
      </c>
      <c r="AY25" s="80" t="s">
        <v>548</v>
      </c>
      <c r="BG25" s="80" t="s">
        <v>533</v>
      </c>
    </row>
    <row r="26" customFormat="false" ht="15" hidden="false" customHeight="false" outlineLevel="0" collapsed="false">
      <c r="AU26" s="80" t="s">
        <v>990</v>
      </c>
      <c r="AX26" s="80" t="s">
        <v>551</v>
      </c>
      <c r="AY26" s="80" t="s">
        <v>551</v>
      </c>
      <c r="BG26" s="80" t="s">
        <v>664</v>
      </c>
    </row>
    <row r="27" customFormat="false" ht="15" hidden="false" customHeight="false" outlineLevel="0" collapsed="false">
      <c r="AU27" s="80" t="s">
        <v>991</v>
      </c>
      <c r="AX27" s="80" t="s">
        <v>554</v>
      </c>
      <c r="AY27" s="80" t="s">
        <v>554</v>
      </c>
      <c r="BG27" s="80" t="s">
        <v>666</v>
      </c>
    </row>
    <row r="28" customFormat="false" ht="15" hidden="false" customHeight="false" outlineLevel="0" collapsed="false">
      <c r="AU28" s="80" t="s">
        <v>992</v>
      </c>
      <c r="AX28" s="80" t="s">
        <v>556</v>
      </c>
      <c r="AY28" s="80" t="s">
        <v>556</v>
      </c>
      <c r="BG28" s="80" t="s">
        <v>668</v>
      </c>
    </row>
    <row r="29" customFormat="false" ht="15" hidden="false" customHeight="false" outlineLevel="0" collapsed="false">
      <c r="AU29" s="80" t="s">
        <v>993</v>
      </c>
      <c r="AX29" s="80" t="s">
        <v>560</v>
      </c>
      <c r="AY29" s="80" t="s">
        <v>560</v>
      </c>
      <c r="BG29" s="80" t="s">
        <v>670</v>
      </c>
    </row>
    <row r="30" customFormat="false" ht="15" hidden="false" customHeight="false" outlineLevel="0" collapsed="false">
      <c r="AU30" s="80" t="s">
        <v>994</v>
      </c>
      <c r="AX30" s="80" t="s">
        <v>566</v>
      </c>
      <c r="AY30" s="80" t="s">
        <v>566</v>
      </c>
      <c r="BG30" s="80" t="s">
        <v>672</v>
      </c>
    </row>
    <row r="31" customFormat="false" ht="15" hidden="false" customHeight="false" outlineLevel="0" collapsed="false">
      <c r="AU31" s="80" t="s">
        <v>995</v>
      </c>
      <c r="AX31" s="80" t="s">
        <v>569</v>
      </c>
      <c r="AY31" s="80" t="s">
        <v>569</v>
      </c>
      <c r="BG31" s="80" t="s">
        <v>674</v>
      </c>
    </row>
    <row r="32" customFormat="false" ht="15" hidden="false" customHeight="false" outlineLevel="0" collapsed="false">
      <c r="AU32" s="80" t="s">
        <v>996</v>
      </c>
      <c r="AX32" s="80" t="s">
        <v>576</v>
      </c>
      <c r="AY32" s="80" t="s">
        <v>576</v>
      </c>
      <c r="BG32" s="80" t="s">
        <v>676</v>
      </c>
    </row>
    <row r="33" customFormat="false" ht="15" hidden="false" customHeight="false" outlineLevel="0" collapsed="false">
      <c r="AU33" s="80" t="s">
        <v>997</v>
      </c>
      <c r="AX33" s="80" t="s">
        <v>578</v>
      </c>
      <c r="AY33" s="80" t="s">
        <v>578</v>
      </c>
      <c r="BG33" s="80" t="s">
        <v>538</v>
      </c>
    </row>
    <row r="34" customFormat="false" ht="15" hidden="false" customHeight="false" outlineLevel="0" collapsed="false">
      <c r="AU34" s="80" t="s">
        <v>998</v>
      </c>
      <c r="AX34" s="80" t="s">
        <v>579</v>
      </c>
      <c r="AY34" s="80" t="s">
        <v>579</v>
      </c>
      <c r="BG34" s="80" t="s">
        <v>680</v>
      </c>
    </row>
    <row r="35" customFormat="false" ht="15" hidden="false" customHeight="false" outlineLevel="0" collapsed="false">
      <c r="AU35" s="80" t="s">
        <v>999</v>
      </c>
      <c r="AX35" s="80" t="s">
        <v>581</v>
      </c>
      <c r="AY35" s="80" t="s">
        <v>581</v>
      </c>
      <c r="BG35" s="80" t="s">
        <v>682</v>
      </c>
    </row>
    <row r="36" customFormat="false" ht="15" hidden="false" customHeight="false" outlineLevel="0" collapsed="false">
      <c r="AU36" s="80" t="s">
        <v>1000</v>
      </c>
      <c r="AX36" s="80" t="s">
        <v>582</v>
      </c>
      <c r="AY36" s="80" t="s">
        <v>582</v>
      </c>
      <c r="BG36" s="80" t="s">
        <v>684</v>
      </c>
    </row>
    <row r="37" customFormat="false" ht="15" hidden="false" customHeight="false" outlineLevel="0" collapsed="false">
      <c r="AX37" s="80" t="s">
        <v>583</v>
      </c>
      <c r="AY37" s="80" t="s">
        <v>583</v>
      </c>
      <c r="BG37" s="80" t="s">
        <v>688</v>
      </c>
    </row>
    <row r="38" customFormat="false" ht="15" hidden="false" customHeight="false" outlineLevel="0" collapsed="false">
      <c r="AX38" s="80" t="s">
        <v>586</v>
      </c>
      <c r="AY38" s="80" t="s">
        <v>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2026-10-06T12:55:35Z</dcterms:created>
  <dc:creator>openpyxl</dc:creator>
  <dc:description/>
  <dc:language>en-US</dc:language>
  <cp:lastModifiedBy/>
  <dcterms:modified xsi:type="dcterms:W3CDTF">2026-10-06T12:55:35Z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