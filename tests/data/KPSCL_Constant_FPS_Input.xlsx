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Geometry_Flaw" sheetId="2" state="visible" r:id="rId2"/>
    <sheet xmlns:r="http://schemas.openxmlformats.org/officeDocument/2006/relationships" name="2_Material" sheetId="3" state="visible" r:id="rId3"/>
    <sheet xmlns:r="http://schemas.openxmlformats.org/officeDocument/2006/relationships" name="3_Toughness" sheetId="4" state="visible" r:id="rId4"/>
    <sheet xmlns:r="http://schemas.openxmlformats.org/officeDocument/2006/relationships" name="4_Crack_Growth" sheetId="5" state="visible" r:id="rId5"/>
    <sheet xmlns:r="http://schemas.openxmlformats.org/officeDocument/2006/relationships" name="5_Loads" sheetId="6" state="visible" r:id="rId6"/>
    <sheet xmlns:r="http://schemas.openxmlformats.org/officeDocument/2006/relationships" name="5B_Stress_Profile" sheetId="7" state="visible" r:id="rId7"/>
    <sheet xmlns:r="http://schemas.openxmlformats.org/officeDocument/2006/relationships" name="6_Residual_Stress" sheetId="8" state="visible" r:id="rId8"/>
    <sheet xmlns:r="http://schemas.openxmlformats.org/officeDocument/2006/relationships" name="8_Controls" sheetId="9" state="visible" r:id="rId9"/>
    <sheet xmlns:r="http://schemas.openxmlformats.org/officeDocument/2006/relationships" name="9_Level3" sheetId="10" state="visible" r:id="rId10"/>
    <sheet xmlns:r="http://schemas.openxmlformats.org/officeDocument/2006/relationships" name="DB_Materials" sheetId="11" state="visible" r:id="rId11"/>
    <sheet xmlns:r="http://schemas.openxmlformats.org/officeDocument/2006/relationships" name="DB_Growth" sheetId="12" state="visible" r:id="rId12"/>
    <sheet xmlns:r="http://schemas.openxmlformats.org/officeDocument/2006/relationships" name="DB_Toughness" sheetId="13" state="visible" r:id="rId13"/>
    <sheet xmlns:r="http://schemas.openxmlformats.org/officeDocument/2006/relationships" name="DB_Table9_2" sheetId="14" state="visible" r:id="rId14"/>
    <sheet xmlns:r="http://schemas.openxmlformats.org/officeDocument/2006/relationships" name="DB_Table9F2" sheetId="15" state="visible" r:id="rId15"/>
    <sheet xmlns:r="http://schemas.openxmlformats.org/officeDocument/2006/relationships" name="DB_Table9_3" sheetId="16" state="visible" r:id="rId16"/>
    <sheet xmlns:r="http://schemas.openxmlformats.org/officeDocument/2006/relationships" name="DB_Lr_max" sheetId="17" state="visible" r:id="rId17"/>
    <sheet xmlns:r="http://schemas.openxmlformats.org/officeDocument/2006/relationships" name="DB_Annex9D" sheetId="18" state="visible" r:id="rId18"/>
    <sheet xmlns:r="http://schemas.openxmlformats.org/officeDocument/2006/relationships" name="DB_JR_Curves" sheetId="19" state="visible" r:id="rId19"/>
    <sheet xmlns:r="http://schemas.openxmlformats.org/officeDocument/2006/relationships" name="DB_Table9F1" sheetId="20" state="visible" r:id="rId20"/>
    <sheet xmlns:r="http://schemas.openxmlformats.org/officeDocument/2006/relationships" name="Lists" sheetId="21" state="hidden" r:id="rId21"/>
  </sheets>
  <definedNames>
    <definedName name="calc_at" hidden="0" function="0" vbProcedure="0">1_Geometry_Flaw!$B$11</definedName>
    <definedName name="calc_c0" hidden="0" function="0" vbProcedure="0">1_Geometry_Flaw!$B$10</definedName>
    <definedName name="calc_gm" hidden="0" function="0" vbProcedure="0">4_Crack_Growth!$B$6</definedName>
    <definedName name="calc_sif" hidden="0" function="0" vbProcedure="0">5_Loads!$B$7</definedName>
    <definedName name="calc_su" hidden="0" function="0" vbProcedure="0">2_Material!$B$27</definedName>
    <definedName name="calc_sy" hidden="0" function="0" vbProcedure="0">2_Material!$B$26</definedName>
    <definedName name="calc_sysr" hidden="0" function="0" vbProcedure="0">6_Residual_Stress!$B$19</definedName>
    <definedName name="db_default_growth_model" hidden="0" function="0" vbProcedure="0">2_Material!$B$18</definedName>
    <definedName name="db_exemption_curve" hidden="0" function="0" vbProcedure="0">2_Material!$B$16</definedName>
    <definedName name="db_lrmax_category" hidden="0" function="0" vbProcedure="0">2_Material!$B$17</definedName>
    <definedName name="db_material_class" hidden="0" function="0" vbProcedure="0">2_Material!$B$12</definedName>
    <definedName name="db_SMTS" hidden="0" function="0" vbProcedure="0">2_Material!$B$14</definedName>
    <definedName name="db_SMYS" hidden="0" function="0" vbProcedure="0">2_Material!$B$13</definedName>
    <definedName name="GEOMETRY" hidden="0" function="0" vbProcedure="0">Cover!$B$16</definedName>
    <definedName name="in_actual_ys" hidden="0" function="0" vbProcedure="0">6_Residual_Stress!$B$13</definedName>
    <definedName name="in_a_m" hidden="0" function="0" vbProcedure="0">1_Geometry_Flaw!$B$7</definedName>
    <definedName name="in_bisection" hidden="0" function="0" vbProcedure="0">8_Controls!$B$7</definedName>
    <definedName name="in_chem_As" hidden="0" function="0" vbProcedure="0">3_Toughness!$B$55</definedName>
    <definedName name="in_chem_Mn" hidden="0" function="0" vbProcedure="0">3_Toughness!$B$56</definedName>
    <definedName name="in_chem_P" hidden="0" function="0" vbProcedure="0">3_Toughness!$B$52</definedName>
    <definedName name="in_chem_Sb" hidden="0" function="0" vbProcedure="0">3_Toughness!$B$53</definedName>
    <definedName name="in_chem_Si" hidden="0" function="0" vbProcedure="0">3_Toughness!$B$57</definedName>
    <definedName name="in_chem_Sn" hidden="0" function="0" vbProcedure="0">3_Toughness!$B$54</definedName>
    <definedName name="in_constraint" hidden="0" function="0" vbProcedure="0">2_Material!$B$30</definedName>
    <definedName name="in_crmo_route" hidden="0" function="0" vbProcedure="0">3_Toughness!$B$50</definedName>
    <definedName name="in_crmo_vintage" hidden="0" function="0" vbProcedure="0">3_Toughness!$B$51</definedName>
    <definedName name="in_curve_mode" hidden="0" function="0" vbProcedure="0">3_Toughness!$B$20</definedName>
    <definedName name="in_cycles_per_year" hidden="0" function="0" vbProcedure="0">8_Controls!$B$17</definedName>
    <definedName name="in_C_user" hidden="0" function="0" vbProcedure="0">4_Crack_Growth!$B$27</definedName>
    <definedName name="in_data_status" hidden="0" function="0" vbProcedure="0">2_Material!$B$25</definedName>
    <definedName name="in_direction" hidden="0" function="0" vbProcedure="0">6_Residual_Stress!$B$17</definedName>
    <definedName name="in_dkth_override" hidden="0" function="0" vbProcedure="0">4_Crack_Growth!$B$24</definedName>
    <definedName name="in_dKth_user" hidden="0" function="0" vbProcedure="0">4_Crack_Growth!$B$29</definedName>
    <definedName name="in_E" hidden="0" function="0" vbProcedure="0">2_Material!$B$35</definedName>
    <definedName name="in_E_ambient" hidden="0" function="0" vbProcedure="0">4_Crack_Growth!$B$21</definedName>
    <definedName name="in_E_temp" hidden="0" function="0" vbProcedure="0">4_Crack_Growth!$B$22</definedName>
    <definedName name="in_flaw_basis" hidden="0" function="0" vbProcedure="0">8_Controls!$B$10</definedName>
    <definedName name="in_growth_model" hidden="0" function="0" vbProcedure="0">4_Crack_Growth!$B$5</definedName>
    <definedName name="in_h2s_ppm" hidden="0" function="0" vbProcedure="0">4_Crack_Growth!$B$23</definedName>
    <definedName name="in_h2_shift" hidden="0" function="0" vbProcedure="0">3_Toughness!$B$38</definedName>
    <definedName name="in_h2_shift_user" hidden="0" function="0" vbProcedure="0">3_Toughness!$B$39</definedName>
    <definedName name="in_include_pc_ref" hidden="0" function="0" vbProcedure="0">5_Loads!$B$34</definedName>
    <definedName name="in_insp_cap" hidden="0" function="0" vbProcedure="0">8_Controls!$B$16</definedName>
    <definedName name="in_insp_fraction" hidden="0" function="0" vbProcedure="0">8_Controls!$B$15</definedName>
    <definedName name="in_joint" hidden="0" function="0" vbProcedure="0">6_Residual_Stress!$B$15</definedName>
    <definedName name="in_jr_basis" hidden="0" function="0" vbProcedure="0">9_Level3!$B$26</definedName>
    <definedName name="in_jr_C" hidden="0" function="0" vbProcedure="0">9_Level3!$B$27</definedName>
    <definedName name="in_jr_cvn" hidden="0" function="0" vbProcedure="0">9_Level3!$B$25</definedName>
    <definedName name="in_jr_n" hidden="0" function="0" vbProcedure="0">9_Level3!$B$28</definedName>
    <definedName name="in_jr_record" hidden="0" function="0" vbProcedure="0">9_Level3!$B$24</definedName>
    <definedName name="in_jr_source" hidden="0" function="0" vbProcedure="0">9_Level3!$B$23</definedName>
    <definedName name="in_kmat_project" hidden="0" function="0" vbProcedure="0">3_Toughness!$B$9</definedName>
    <definedName name="in_krate_dyn" hidden="0" function="0" vbProcedure="0">3_Toughness!$B$46</definedName>
    <definedName name="in_krate_static" hidden="0" function="0" vbProcedure="0">3_Toughness!$B$47</definedName>
    <definedName name="in_l3_sens" hidden="0" function="0" vbProcedure="0">9_Level3!$B$5</definedName>
    <definedName name="in_len_2c" hidden="0" function="0" vbProcedure="0">1_Geometry_Flaw!$B$8</definedName>
    <definedName name="in_life_margin" hidden="0" function="0" vbProcedure="0">8_Controls!$B$12</definedName>
    <definedName name="in_lrmax_mode" hidden="0" function="0" vbProcedure="0">2_Material!$B$29</definedName>
    <definedName name="in_material_filter" hidden="0" function="0" vbProcedure="0">2_Material!$B$5</definedName>
    <definedName name="in_material_id" hidden="0" function="0" vbProcedure="0">2_Material!$B$6</definedName>
    <definedName name="in_material_spec" hidden="0" function="0" vbProcedure="0">6_Residual_Stress!$B$10</definedName>
    <definedName name="in_max_cycles" hidden="0" function="0" vbProcedure="0">8_Controls!$B$5</definedName>
    <definedName name="in_max_dc" hidden="0" function="0" vbProcedure="0">8_Controls!$B$6</definedName>
    <definedName name="in_max_scale" hidden="0" function="0" vbProcedure="0">5_Loads!$B$37</definedName>
    <definedName name="in_mc_L" hidden="0" function="0" vbProcedure="0">3_Toughness!$B$36</definedName>
    <definedName name="in_mc_L_mode" hidden="0" function="0" vbProcedure="0">3_Toughness!$B$35</definedName>
    <definedName name="in_mc_pf" hidden="0" function="0" vbProcedure="0">3_Toughness!$B$34</definedName>
    <definedName name="in_mc_test_B" hidden="0" function="0" vbProcedure="0">3_Toughness!$B$33</definedName>
    <definedName name="in_mc_test_E" hidden="0" function="0" vbProcedure="0">3_Toughness!$B$31</definedName>
    <definedName name="in_mc_test_J" hidden="0" function="0" vbProcedure="0">3_Toughness!$B$30</definedName>
    <definedName name="in_mc_test_nu" hidden="0" function="0" vbProcedure="0">3_Toughness!$B$32</definedName>
    <definedName name="in_mc_test_T" hidden="0" function="0" vbProcedure="0">3_Toughness!$B$29</definedName>
    <definedName name="in_mc_us_limit" hidden="0" function="0" vbProcedure="0">3_Toughness!$B$37</definedName>
    <definedName name="in_md_da_max" hidden="0" function="0" vbProcedure="0">9_Level3!$B$29</definedName>
    <definedName name="in_md_fmax" hidden="0" function="0" vbProcedure="0">9_Level3!$B$31</definedName>
    <definedName name="in_md_on" hidden="0" function="0" vbProcedure="0">9_Level3!$B$22</definedName>
    <definedName name="in_md_points" hidden="0" function="0" vbProcedure="0">9_Level3!$B$30</definedName>
    <definedName name="in_method" hidden="0" function="0" vbProcedure="0">3_Toughness!$B$5</definedName>
    <definedName name="in_min_scale" hidden="0" function="0" vbProcedure="0">5_Loads!$B$36</definedName>
    <definedName name="in_ni_pct" hidden="0" function="0" vbProcedure="0">3_Toughness!$B$48</definedName>
    <definedName name="in_nu" hidden="0" function="0" vbProcedure="0">2_Material!$B$36</definedName>
    <definedName name="in_n_user" hidden="0" function="0" vbProcedure="0">4_Crack_Growth!$B$28</definedName>
    <definedName name="in_P0" hidden="0" function="0" vbProcedure="0">5_Loads!$B$18</definedName>
    <definedName name="in_P1" hidden="0" function="0" vbProcedure="0">5_Loads!$B$19</definedName>
    <definedName name="in_P2" hidden="0" function="0" vbProcedure="0">5_Loads!$B$20</definedName>
    <definedName name="in_P3" hidden="0" function="0" vbProcedure="0">5_Loads!$B$21</definedName>
    <definedName name="in_P4" hidden="0" function="0" vbProcedure="0">5_Loads!$B$22</definedName>
    <definedName name="in_Pb" hidden="0" function="0" vbProcedure="0">5_Loads!$B$14</definedName>
    <definedName name="in_pc" hidden="0" function="0" vbProcedure="0">5_Loads!$B$33</definedName>
    <definedName name="in_Pm" hidden="0" function="0" vbProcedure="0">5_Loads!$B$13</definedName>
    <definedName name="in_points" hidden="0" function="0" vbProcedure="0">6_Residual_Stress!$B$25</definedName>
    <definedName name="in_profile" hidden="0" function="0" vbProcedure="0">5B_Stress_Profile!$A$4:$D$53</definedName>
    <definedName name="in_profile_id" hidden="0" function="0" vbProcedure="0">6_Residual_Stress!$B$22</definedName>
    <definedName name="in_psf_flaw" hidden="0" function="0" vbProcedure="0">9_Level3!$B$20</definedName>
    <definedName name="in_psf_kmat" hidden="0" function="0" vbProcedure="0">9_Level3!$B$19</definedName>
    <definedName name="in_psf_on" hidden="0" function="0" vbProcedure="0">9_Level3!$B$17</definedName>
    <definedName name="in_psf_stress" hidden="0" function="0" vbProcedure="0">9_Level3!$B$18</definedName>
    <definedName name="in_pt_credit" hidden="0" function="0" vbProcedure="0">6_Residual_Stress!$B$18</definedName>
    <definedName name="in_Q0" hidden="0" function="0" vbProcedure="0">5_Loads!$B$23</definedName>
    <definedName name="in_Q1" hidden="0" function="0" vbProcedure="0">5_Loads!$B$24</definedName>
    <definedName name="in_Q2" hidden="0" function="0" vbProcedure="0">5_Loads!$B$25</definedName>
    <definedName name="in_Q3" hidden="0" function="0" vbProcedure="0">5_Loads!$B$26</definedName>
    <definedName name="in_Q4" hidden="0" function="0" vbProcedure="0">5_Loads!$B$27</definedName>
    <definedName name="in_Rb" hidden="0" function="0" vbProcedure="0">6_Residual_Stress!$B$8</definedName>
    <definedName name="in_required_life" hidden="0" function="0" vbProcedure="0">8_Controls!$B$11</definedName>
    <definedName name="in_re_mode" hidden="0" function="0" vbProcedure="0">4_Crack_Growth!$B$20</definedName>
    <definedName name="in_Rm" hidden="0" function="0" vbProcedure="0">6_Residual_Stress!$B$7</definedName>
    <definedName name="in_rs_method" hidden="0" function="0" vbProcedure="0">6_Residual_Stress!$B$5</definedName>
    <definedName name="in_r_basis" hidden="0" function="0" vbProcedure="0">4_Crack_Growth!$B$18</definedName>
    <definedName name="in_Sb" hidden="0" function="0" vbProcedure="0">5_Loads!$B$16</definedName>
    <definedName name="in_sif_points" hidden="0" function="0" vbProcedure="0">8_Controls!$B$8</definedName>
    <definedName name="in_Sm" hidden="0" function="0" vbProcedure="0">5_Loads!$B$15</definedName>
    <definedName name="in_smys_9d" hidden="0" function="0" vbProcedure="0">6_Residual_Stress!$B$11</definedName>
    <definedName name="in_ss_basis" hidden="0" function="0" vbProcedure="0">3_Toughness!$B$16</definedName>
    <definedName name="in_ss_condition" hidden="0" function="0" vbProcedure="0">3_Toughness!$B$15</definedName>
    <definedName name="in_strength_source" hidden="0" function="0" vbProcedure="0">2_Material!$B$22</definedName>
    <definedName name="in_stress_dist" hidden="0" function="0" vbProcedure="0">5_Loads!$B$5</definedName>
    <definedName name="in_stress_input" hidden="0" function="0" vbProcedure="0">5_Loads!$B$6</definedName>
    <definedName name="in_sulfur" hidden="0" function="0" vbProcedure="0">3_Toughness!$B$28</definedName>
    <definedName name="in_su_project" hidden="0" function="0" vbProcedure="0">2_Material!$B$24</definedName>
    <definedName name="in_syA" hidden="0" function="0" vbProcedure="0">3_Toughness!$B$27</definedName>
    <definedName name="in_sy_project" hidden="0" function="0" vbProcedure="0">2_Material!$B$23</definedName>
    <definedName name="in_s_c0_hi" hidden="0" function="0" vbProcedure="0">9_Level3!$D$10</definedName>
    <definedName name="in_s_c0_lo" hidden="0" function="0" vbProcedure="0">9_Level3!$C$10</definedName>
    <definedName name="in_s_c0_on" hidden="0" function="0" vbProcedure="0">9_Level3!$B$10</definedName>
    <definedName name="in_s_dkth_hi" hidden="0" function="0" vbProcedure="0">9_Level3!$D$14</definedName>
    <definedName name="in_s_dkth_lo" hidden="0" function="0" vbProcedure="0">9_Level3!$C$14</definedName>
    <definedName name="in_s_dkth_on" hidden="0" function="0" vbProcedure="0">9_Level3!$B$14</definedName>
    <definedName name="in_s_kmat_hi" hidden="0" function="0" vbProcedure="0">9_Level3!$D$11</definedName>
    <definedName name="in_s_kmat_lo" hidden="0" function="0" vbProcedure="0">9_Level3!$C$11</definedName>
    <definedName name="in_s_kmat_on" hidden="0" function="0" vbProcedure="0">9_Level3!$B$11</definedName>
    <definedName name="in_s_primary_hi" hidden="0" function="0" vbProcedure="0">9_Level3!$D$7</definedName>
    <definedName name="in_s_primary_lo" hidden="0" function="0" vbProcedure="0">9_Level3!$C$7</definedName>
    <definedName name="in_s_primary_on" hidden="0" function="0" vbProcedure="0">9_Level3!$B$7</definedName>
    <definedName name="in_s_rateC_hi" hidden="0" function="0" vbProcedure="0">9_Level3!$D$13</definedName>
    <definedName name="in_s_rateC_lo" hidden="0" function="0" vbProcedure="0">9_Level3!$C$13</definedName>
    <definedName name="in_s_rateC_on" hidden="0" function="0" vbProcedure="0">9_Level3!$B$13</definedName>
    <definedName name="in_s_residual_hi" hidden="0" function="0" vbProcedure="0">9_Level3!$D$9</definedName>
    <definedName name="in_s_residual_lo" hidden="0" function="0" vbProcedure="0">9_Level3!$C$9</definedName>
    <definedName name="in_s_residual_on" hidden="0" function="0" vbProcedure="0">9_Level3!$B$9</definedName>
    <definedName name="in_s_secondary_hi" hidden="0" function="0" vbProcedure="0">9_Level3!$D$8</definedName>
    <definedName name="in_s_secondary_lo" hidden="0" function="0" vbProcedure="0">9_Level3!$C$8</definedName>
    <definedName name="in_s_secondary_on" hidden="0" function="0" vbProcedure="0">9_Level3!$B$8</definedName>
    <definedName name="in_s_strength_hi" hidden="0" function="0" vbProcedure="0">9_Level3!$D$12</definedName>
    <definedName name="in_s_strength_lo" hidden="0" function="0" vbProcedure="0">9_Level3!$C$12</definedName>
    <definedName name="in_s_strength_on" hidden="0" function="0" vbProcedure="0">9_Level3!$B$12</definedName>
    <definedName name="in_t" hidden="0" function="0" vbProcedure="0">1_Geometry_Flaw!$B$5</definedName>
    <definedName name="in_t0" hidden="0" function="0" vbProcedure="0">3_Toughness!$B$26</definedName>
    <definedName name="in_t0_mode" hidden="0" function="0" vbProcedure="0">3_Toughness!$B$25</definedName>
    <definedName name="in_tests" hidden="0" function="0" vbProcedure="0">3_Toughness!$H$4:$H$33</definedName>
    <definedName name="in_tref" hidden="0" function="0" vbProcedure="0">3_Toughness!$B$19</definedName>
    <definedName name="in_tref_mode" hidden="0" function="0" vbProcedure="0">3_Toughness!$B$18</definedName>
    <definedName name="in_T_assess" hidden="0" function="0" vbProcedure="0">2_Material!$B$34</definedName>
    <definedName name="in_us_basis" hidden="0" function="0" vbProcedure="0">3_Toughness!$B$43</definedName>
    <definedName name="in_us_cvn" hidden="0" function="0" vbProcedure="0">3_Toughness!$B$42</definedName>
    <definedName name="in_us_fixed" hidden="0" function="0" vbProcedure="0">3_Toughness!$B$44</definedName>
    <definedName name="in_us_option" hidden="0" function="0" vbProcedure="0">3_Toughness!$B$41</definedName>
    <definedName name="in_weld_condition" hidden="0" function="0" vbProcedure="0">6_Residual_Stress!$B$16</definedName>
    <definedName name="in_weld_eq" hidden="0" function="0" vbProcedure="0">4_Crack_Growth!$B$19</definedName>
    <definedName name="in_weld_type" hidden="0" function="0" vbProcedure="0">6_Residual_Stress!$B$14</definedName>
    <definedName name="in_weld_w" hidden="0" function="0" vbProcedure="0">6_Residual_Stress!$B$24</definedName>
    <definedName name="in_weld_y" hidden="0" function="0" vbProcedure="0">6_Residual_Stress!$B$23</definedName>
    <definedName name="in_xi_cap" hidden="0" function="0" vbProcedure="0">3_Toughness!$B$22</definedName>
    <definedName name="in_xi_curve" hidden="0" function="0" vbProcedure="0">3_Toughness!$B$21</definedName>
    <definedName name="in_ys_basis" hidden="0" function="0" vbProcedure="0">6_Residual_Stress!$B$12</definedName>
    <definedName name="LOAD_TYPE" hidden="0" function="0" vbProcedure="0">Cover!$B$17</definedName>
    <definedName name="L_CONSTRAINT" hidden="0" function="0" vbProcedure="0">Lists!$E$2:$E$3</definedName>
    <definedName name="L_CRMO_ROUTE" hidden="0" function="0" vbProcedure="0">Lists!$U$2:$U$4</definedName>
    <definedName name="L_CRMO_VINTAGE" hidden="0" function="0" vbProcedure="0">Lists!$V$2:$V$4</definedName>
    <definedName name="L_CURVE_MODE" hidden="0" function="0" vbProcedure="0">Lists!$M$2:$M$6</definedName>
    <definedName name="L_CW_STOP" hidden="0" function="0" vbProcedure="0">Lists!$AT$2:$AT$4</definedName>
    <definedName name="L_DATA_STATUS" hidden="0" function="0" vbProcedure="0">Lists!$F$2:$F$3</definedName>
    <definedName name="L_DIRECTION" hidden="0" function="0" vbProcedure="0">Lists!$AI$2:$AI$3</definedName>
    <definedName name="L_FLAW_BASIS" hidden="0" function="0" vbProcedure="0">Lists!$AO$2:$AO$3</definedName>
    <definedName name="L_FLAW_OPTION" hidden="0" function="0" vbProcedure="0">Lists!$A$2:$A$3</definedName>
    <definedName name="L_GROWTH_IDS" hidden="0" function="0" vbProcedure="0">Lists!$BG$2:$BG$37</definedName>
    <definedName name="L_H2_SHIFT" hidden="0" function="0" vbProcedure="0">Lists!$S$2:$S$5</definedName>
    <definedName name="L_INSP_FRACTION" hidden="0" function="0" vbProcedure="0">Lists!$AS$2:$AS$5</definedName>
    <definedName name="L_JOINT" hidden="0" function="0" vbProcedure="0">Lists!$AM$2:$AM$4</definedName>
    <definedName name="L_JR_IDS" hidden="0" function="0" vbProcedure="0">Lists!$AW$2:$AW$10</definedName>
    <definedName name="L_JR_SOURCE" hidden="0" function="0" vbProcedure="0">Lists!$AV$2:$AV$4</definedName>
    <definedName name="L_LIFE_MARGIN" hidden="0" function="0" vbProcedure="0">Lists!$AR$2:$AR$6</definedName>
    <definedName name="L_LOWER_MEAN" hidden="0" function="0" vbProcedure="0">Lists!$J$2:$J$3</definedName>
    <definedName name="L_LOWER_MEDIAN" hidden="0" function="0" vbProcedure="0">Lists!$K$2:$K$3</definedName>
    <definedName name="L_LRMAX_MODE" hidden="0" function="0" vbProcedure="0">Lists!$D$2:$D$8</definedName>
    <definedName name="L_L_MODE" hidden="0" function="0" vbProcedure="0">Lists!$Q$2:$Q$3</definedName>
    <definedName name="L_MATERIAL_FILTER" hidden="0" function="0" vbProcedure="0">Lists!$AN$2:$AN$6</definedName>
    <definedName name="L_MATERIAL_IDS" hidden="0" function="0" vbProcedure="0">Lists!$AX$2:$AX$38</definedName>
    <definedName name="L_MAT_ALL" hidden="0" function="0" vbProcedure="0">Lists!$AY$2:$AY$38</definedName>
    <definedName name="L_MAT_AUSTENITIC_SS" hidden="0" function="0" vbProcedure="0">Lists!$BB$2:$BB$9</definedName>
    <definedName name="L_MAT_CARBON_STEEL" hidden="0" function="0" vbProcedure="0">Lists!$AZ$2:$AZ$22</definedName>
    <definedName name="L_MAT_LOW_ALLOY_STEEL" hidden="0" function="0" vbProcedure="0">Lists!$BA$2:$BA$8</definedName>
    <definedName name="L_MAT_REFERENCE" hidden="0" function="0" vbProcedure="0">Lists!$BC$2:$BC$2</definedName>
    <definedName name="L_PF" hidden="0" function="0" vbProcedure="0">Lists!$AQ$2:$AQ$5</definedName>
    <definedName name="L_PROFILE" hidden="0" function="0" vbProcedure="0">Lists!$AK$2:$AK$3</definedName>
    <definedName name="L_PROJ_PLANE" hidden="0" function="0" vbProcedure="0">Lists!$B$2:$B$3</definedName>
    <definedName name="L_PT_CREDIT" hidden="0" function="0" vbProcedure="0">Lists!$AJ$2:$AJ$2</definedName>
    <definedName name="L_RE_MODE" hidden="0" function="0" vbProcedure="0">Lists!$Y$2:$Y$4</definedName>
    <definedName name="L_RS_METHOD" hidden="0" function="0" vbProcedure="0">Lists!$AE$2:$AE$4</definedName>
    <definedName name="L_RS_METHOD_S" hidden="0" function="0" vbProcedure="0">Lists!$AF$2:$AF$5</definedName>
    <definedName name="L_R_BASIS" hidden="0" function="0" vbProcedure="0">Lists!$W$2:$W$4</definedName>
    <definedName name="L_SPEC_TEXT" hidden="0" function="0" vbProcedure="0">Lists!$AU$2:$AU$36</definedName>
    <definedName name="L_SS_CONDITION" hidden="0" function="0" vbProcedure="0">Lists!$I$2:$I$4</definedName>
    <definedName name="L_STRENGTH_SOURCE" hidden="0" function="0" vbProcedure="0">Lists!$C$2:$C$3</definedName>
    <definedName name="L_STRESS_DIST" hidden="0" function="0" vbProcedure="0">Lists!$AA$2:$AA$3</definedName>
    <definedName name="L_STRESS_INPUT" hidden="0" function="0" vbProcedure="0">Lists!$AB$2:$AB$4</definedName>
    <definedName name="L_STRESS_INPUT_KPSCL1" hidden="0" function="0" vbProcedure="0">Lists!$AC$2:$AC$3</definedName>
    <definedName name="L_STRESS_INPUT_KPSCL2" hidden="0" function="0" vbProcedure="0">Lists!$AD$2:$AD$3</definedName>
    <definedName name="L_STRESS_MODE" hidden="0" function="0" vbProcedure="0">Lists!$Z$2:$Z$3</definedName>
    <definedName name="L_SULFUR" hidden="0" function="0" vbProcedure="0">Lists!$P$2:$P$3</definedName>
    <definedName name="L_T0_MODE" hidden="0" function="0" vbProcedure="0">Lists!$O$2:$O$4</definedName>
    <definedName name="L_TOUGHNESS_METHOD" hidden="0" function="0" vbProcedure="0">Lists!$H$2:$H$10</definedName>
    <definedName name="L_TREF_MODE" hidden="0" function="0" vbProcedure="0">Lists!$L$2:$L$5</definedName>
    <definedName name="L_UNIT_SYSTEM" hidden="0" function="0" vbProcedure="0">Lists!$BF$2:$BF$3</definedName>
    <definedName name="L_US_LIMIT" hidden="0" function="0" vbProcedure="0">Lists!$R$2:$R$3</definedName>
    <definedName name="L_US_OPTION" hidden="0" function="0" vbProcedure="0">Lists!$T$2:$T$3</definedName>
    <definedName name="L_WELD_COND" hidden="0" function="0" vbProcedure="0">Lists!$AH$2:$AH$4</definedName>
    <definedName name="L_WELD_EQ" hidden="0" function="0" vbProcedure="0">Lists!$X$2:$X$3</definedName>
    <definedName name="L_WELD_TYPE" hidden="0" function="0" vbProcedure="0">Lists!$AL$2:$AL$6</definedName>
    <definedName name="L_XI_CAP" hidden="0" function="0" vbProcedure="0">Lists!$AP$2:$AP$5</definedName>
    <definedName name="L_XI_CAP_FPS" hidden="0" function="0" vbProcedure="0">Lists!$BE$2:$BE$3</definedName>
    <definedName name="L_XI_CAP_SI" hidden="0" function="0" vbProcedure="0">Lists!$BD$2:$BD$3</definedName>
    <definedName name="L_XI_CURVE" hidden="0" function="0" vbProcedure="0">Lists!$N$2:$N$3</definedName>
    <definedName name="L_YES_NO" hidden="0" function="0" vbProcedure="0">Lists!$G$2:$G$3</definedName>
    <definedName name="L_YS_BASIS" hidden="0" function="0" vbProcedure="0">Lists!$AG$2:$AG$3</definedName>
    <definedName name="prj_analyst" hidden="0" function="0" vbProcedure="0">Cover!$B$12</definedName>
    <definedName name="prj_checker" hidden="0" function="0" vbProcedure="0">Cover!$B$13</definedName>
    <definedName name="prj_component" hidden="0" function="0" vbProcedure="0">Cover!$B$10</definedName>
    <definedName name="prj_date" hidden="0" function="0" vbProcedure="0">Cover!$B$14</definedName>
    <definedName name="prj_location" hidden="0" function="0" vbProcedure="0">Cover!$B$11</definedName>
    <definedName name="prj_project" hidden="0" function="0" vbProcedure="0">Cover!$B$9</definedName>
    <definedName name="prj_revision" hidden="0" function="0" vbProcedure="0">Cover!$B$15</definedName>
    <definedName name="UNIT_SYSTEM" hidden="0" function="0" vbProcedure="0">Cover!$B$5</definedName>
    <definedName name="_xlnm._FilterDatabase" localSheetId="10" hidden="1">'DB_Materials'!$A$1:$AE$38</definedName>
    <definedName name="_xlnm._FilterDatabase" localSheetId="11" hidden="1">'DB_Growth'!$A$1:$T$44</definedName>
    <definedName name="_xlnm._FilterDatabase" localSheetId="12" hidden="1">'DB_Toughness'!$A$1:$E$11</definedName>
    <definedName name="_xlnm._FilterDatabase" localSheetId="14" hidden="1">'DB_Table9F2'!$A$1:$N$6</definedName>
    <definedName name="_xlnm._FilterDatabase" localSheetId="15" hidden="1">'DB_Table9_3'!$A$1:$T$32</definedName>
    <definedName name="_xlnm._FilterDatabase" localSheetId="16" hidden="1">'DB_Lr_max'!$A$1:$D$7</definedName>
    <definedName name="_xlnm._FilterDatabase" localSheetId="17" hidden="1">'DB_Annex9D'!$A$1:$F$8</definedName>
    <definedName name="_xlnm._FilterDatabase" localSheetId="18" hidden="1">'DB_JR_Curves'!$A$1:$P$10</definedName>
    <definedName name="_xlnm._FilterDatabase" localSheetId="19" hidden="1">'DB_Table9F1'!$A$1:$B$7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E+00"/>
    <numFmt numFmtId="167" formatCode="0.000"/>
    <numFmt numFmtId="168" formatCode="\+0;\-0;0"/>
    <numFmt numFmtId="169" formatCode="#,##0.0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404040"/>
      <sz val="10"/>
    </font>
    <font>
      <name val="Arial"/>
      <charset val="1"/>
      <family val="0"/>
      <color rgb="FF404040"/>
      <sz val="9"/>
    </font>
    <font>
      <name val="Arial"/>
      <charset val="1"/>
      <family val="0"/>
      <color rgb="FF7F6000"/>
      <sz val="8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375623"/>
      <sz val="8"/>
    </font>
    <font>
      <name val="Arial"/>
      <charset val="1"/>
      <family val="0"/>
      <b val="1"/>
      <color rgb="FF548235"/>
      <sz val="11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7030A0"/>
      <sz val="11"/>
    </font>
    <font>
      <name val="Arial"/>
      <charset val="1"/>
      <family val="0"/>
      <b val="1"/>
      <color rgb="FFBF8F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595959"/>
      <sz val="11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rgb="FFFFFFFF"/>
      <sz val="12"/>
    </font>
  </fonts>
  <fills count="22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55A11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BF8F0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13" fillId="5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0" fontId="31" fillId="18" borderId="10" applyAlignment="1" pivotButton="0" quotePrefix="0" xfId="0">
      <alignment horizontal="general" vertical="center" indent="1"/>
    </xf>
    <xf numFmtId="168" fontId="13" fillId="5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general" vertical="center"/>
    </xf>
    <xf numFmtId="3" fontId="32" fillId="7" borderId="2" applyAlignment="1" pivotButton="0" quotePrefix="0" xfId="0">
      <alignment horizontal="general" vertical="center"/>
    </xf>
    <xf numFmtId="166" fontId="32" fillId="7" borderId="2" applyAlignment="1" pivotButton="0" quotePrefix="0" xfId="0">
      <alignment horizontal="general" vertical="center"/>
    </xf>
    <xf numFmtId="164" fontId="32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169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0" fontId="32" fillId="0" borderId="2" applyAlignment="1" pivotButton="0" quotePrefix="0" xfId="0">
      <alignment horizontal="general" vertical="center"/>
    </xf>
    <xf numFmtId="3" fontId="32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9" fontId="33" fillId="0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0" fontId="33" fillId="7" borderId="2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166" fontId="32" fillId="0" borderId="2" applyAlignment="1" pivotButton="0" quotePrefix="0" xfId="0">
      <alignment horizontal="general" vertical="center"/>
    </xf>
    <xf numFmtId="164" fontId="32" fillId="0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0" fontId="34" fillId="19" borderId="0" applyAlignment="1" pivotButton="0" quotePrefix="0" xfId="0">
      <alignment horizontal="left" vertical="center" indent="1"/>
    </xf>
    <xf numFmtId="165" fontId="32" fillId="7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5" fontId="32" fillId="0" borderId="2" applyAlignment="1" pivotButton="0" quotePrefix="0" xfId="0">
      <alignment horizontal="general" vertical="center"/>
    </xf>
    <xf numFmtId="0" fontId="14" fillId="2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0" fillId="0" borderId="1" pivotButton="0" quotePrefix="0" xfId="0"/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0" fillId="0" borderId="12" pivotButton="0" quotePrefix="0" xfId="0"/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0" fillId="0" borderId="14" pivotButton="0" quotePrefix="0" xfId="0"/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0" fontId="0" fillId="0" borderId="4" pivotButton="0" quotePrefix="0" xfId="0"/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0" fontId="0" fillId="0" borderId="5" pivotButton="0" quotePrefix="0" xfId="0"/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0" fillId="0" borderId="6" pivotButton="0" quotePrefix="0" xfId="0"/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0" fontId="0" fillId="0" borderId="7" pivotButton="0" quotePrefix="0" xfId="0"/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0" fillId="0" borderId="8" pivotButton="0" quotePrefix="0" xfId="0"/>
    <xf numFmtId="0" fontId="13" fillId="5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0" fillId="0" borderId="9" pivotButton="0" quotePrefix="0" xfId="0"/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0" fontId="31" fillId="18" borderId="10" applyAlignment="1" pivotButton="0" quotePrefix="0" xfId="0">
      <alignment horizontal="general" vertical="center" indent="1"/>
    </xf>
    <xf numFmtId="0" fontId="0" fillId="0" borderId="10" pivotButton="0" quotePrefix="0" xfId="0"/>
    <xf numFmtId="168" fontId="13" fillId="5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general" vertical="center"/>
    </xf>
    <xf numFmtId="3" fontId="32" fillId="7" borderId="2" applyAlignment="1" pivotButton="0" quotePrefix="0" xfId="0">
      <alignment horizontal="general" vertical="center"/>
    </xf>
    <xf numFmtId="166" fontId="32" fillId="7" borderId="2" applyAlignment="1" pivotButton="0" quotePrefix="0" xfId="0">
      <alignment horizontal="general" vertical="center"/>
    </xf>
    <xf numFmtId="164" fontId="32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169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0" fontId="32" fillId="0" borderId="2" applyAlignment="1" pivotButton="0" quotePrefix="0" xfId="0">
      <alignment horizontal="general" vertical="center"/>
    </xf>
    <xf numFmtId="3" fontId="32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9" fontId="33" fillId="0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0" fontId="33" fillId="7" borderId="2" applyAlignment="1" pivotButton="0" quotePrefix="0" xfId="0">
      <alignment horizontal="general" vertical="center"/>
    </xf>
    <xf numFmtId="166" fontId="32" fillId="0" borderId="2" applyAlignment="1" pivotButton="0" quotePrefix="0" xfId="0">
      <alignment horizontal="general" vertical="center"/>
    </xf>
    <xf numFmtId="164" fontId="32" fillId="0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0" fontId="34" fillId="19" borderId="0" applyAlignment="1" pivotButton="0" quotePrefix="0" xfId="0">
      <alignment horizontal="left" vertical="center" indent="1"/>
    </xf>
    <xf numFmtId="165" fontId="32" fillId="7" borderId="2" applyAlignment="1" pivotButton="0" quotePrefix="0" xfId="0">
      <alignment horizontal="general" vertical="center"/>
    </xf>
    <xf numFmtId="165" fontId="32" fillId="0" borderId="2" applyAlignment="1" pivotButton="0" quotePrefix="0" xfId="0">
      <alignment horizontal="general" vertical="center"/>
    </xf>
    <xf numFmtId="0" fontId="14" fillId="21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KPSCL_Constant_Input.xlsx" TargetMode="External" Id="rId1"/><Relationship Type="http://schemas.openxmlformats.org/officeDocument/2006/relationships/hyperlink" Target="KPSCL_Constant_Input.xlsx" TargetMode="External" Id="rId2"/><Relationship Type="http://schemas.openxmlformats.org/officeDocument/2006/relationships/hyperlink" Target="KPSCL_Constant_Input.xlsx" TargetMode="External" Id="rId3"/><Relationship Type="http://schemas.openxmlformats.org/officeDocument/2006/relationships/hyperlink" Target="KPSCL_Constant_Input.xlsx" TargetMode="External" Id="rId4"/><Relationship Type="http://schemas.openxmlformats.org/officeDocument/2006/relationships/hyperlink" Target="KPSCL_Constant_Input.xlsx" TargetMode="External" Id="rId5"/><Relationship Type="http://schemas.openxmlformats.org/officeDocument/2006/relationships/hyperlink" Target="KPSCL_Constant_Input.xlsx" TargetMode="External" Id="rId6"/><Relationship Type="http://schemas.openxmlformats.org/officeDocument/2006/relationships/hyperlink" Target="KPSCL_Constant_Input.xlsx" TargetMode="External" Id="rId7"/><Relationship Type="http://schemas.openxmlformats.org/officeDocument/2006/relationships/hyperlink" Target="KPSCL_Constant_Input.xlsx" TargetMode="External" Id="rId8"/><Relationship Type="http://schemas.openxmlformats.org/officeDocument/2006/relationships/hyperlink" Target="KPSCL_Constant_Input.xlsx" TargetMode="External" Id="rId9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A1:D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91" min="1" max="1"/>
    <col width="40" customWidth="1" style="91" min="2" max="2"/>
    <col width="16" customWidth="1" style="91" min="3" max="3"/>
    <col width="60" customWidth="1" style="91" min="4" max="4"/>
  </cols>
  <sheetData>
    <row r="1" ht="33.75" customHeight="1" s="92">
      <c r="A1" s="93" t="inlineStr">
        <is>
          <t>ATLAS  |  API 579-1/ASME FFS-1 2021  PART 9  -  CRACK-LIKE FLAW ASSESSMENT</t>
        </is>
      </c>
    </row>
    <row r="2" ht="21.75" customHeight="1" s="92">
      <c r="A2" s="94">
        <f>"KPSCL1 (9B.3.2) / KPSCL2 (9B.3.3) / RPSCL (9C.3.2)  -  plate with infinite-length surface crack  -  CONSTANT AMPLITUDE LOADING  -  "&amp;IF(UNIT_SYSTEM="SI","SI UNITS (mm, MPa, MPa√m, °C)","FPS / US CUSTOMARY UNITS (in, ksi, ksi√in, °F)")</f>
        <v/>
      </c>
    </row>
    <row r="4" ht="19.5" customHeight="1" s="92">
      <c r="A4" s="95" t="inlineStr">
        <is>
          <t>UNIT SYSTEM  -  SELECT FIRST (governs inputs, databases, results, plots)</t>
        </is>
      </c>
      <c r="B4" s="96" t="n"/>
      <c r="C4" s="96" t="n"/>
      <c r="D4" s="96" t="n"/>
    </row>
    <row r="5" ht="25.5" customHeight="1" s="92">
      <c r="A5" s="97" t="inlineStr">
        <is>
          <t>Unit system</t>
        </is>
      </c>
      <c r="B5" s="98" t="inlineStr">
        <is>
          <t>FPS</t>
        </is>
      </c>
      <c r="C5" s="99">
        <f>IF(UNIT_SYSTEM="SI","SI - length mm, stress MPa, K MPa√m, temperature °C, J kJ/m², da/dN mm/cycle","FPS - length in, stress ksi, K ksi√in, temperature °F, J in-lb/in², da/dN in/cycle")</f>
        <v/>
      </c>
      <c r="D5" s="100" t="n"/>
    </row>
    <row r="6" ht="27.75" customHeight="1" s="92">
      <c r="A6" s="101" t="inlineStr">
        <is>
          <t>Template default values (formulas) convert automatically when the unit system is changed. Values you type are taken in the selected system; to switch units on a case with typed values run: python ENGINE/tools/convert_units.py &lt;workbook&gt; --to FPS|SI</t>
        </is>
      </c>
    </row>
    <row r="8" ht="19.5" customHeight="1" s="92">
      <c r="A8" s="95" t="inlineStr">
        <is>
          <t>CASE IDENTIFICATION</t>
        </is>
      </c>
      <c r="B8" s="96" t="n"/>
      <c r="C8" s="96" t="n"/>
      <c r="D8" s="96" t="n"/>
    </row>
    <row r="9" ht="15" customHeight="1" s="92">
      <c r="A9" s="102" t="inlineStr">
        <is>
          <t>Project</t>
        </is>
      </c>
      <c r="B9" s="103" t="inlineStr">
        <is>
          <t>ATLAS KPSCL reference case</t>
        </is>
      </c>
      <c r="C9" s="100" t="n"/>
      <c r="D9" s="104" t="n"/>
    </row>
    <row r="10" ht="15" customHeight="1" s="92">
      <c r="A10" s="102" t="inlineStr">
        <is>
          <t>Component / tag</t>
        </is>
      </c>
      <c r="B10" s="103" t="inlineStr">
        <is>
          <t>Flat plate (Fig. 9B.2(b))</t>
        </is>
      </c>
      <c r="C10" s="100" t="n"/>
      <c r="D10" s="104" t="n"/>
    </row>
    <row r="11" ht="15" customHeight="1" s="92">
      <c r="A11" s="102" t="inlineStr">
        <is>
          <t>Flaw location</t>
        </is>
      </c>
      <c r="B11" s="103" t="inlineStr">
        <is>
          <t>Infinite-length surface flaw</t>
        </is>
      </c>
      <c r="C11" s="100" t="n"/>
      <c r="D11" s="104" t="n"/>
    </row>
    <row r="12" ht="15" customHeight="1" s="92">
      <c r="A12" s="102" t="inlineStr">
        <is>
          <t>Analyst</t>
        </is>
      </c>
      <c r="B12" s="103" t="n"/>
      <c r="C12" s="100" t="n"/>
      <c r="D12" s="104" t="n"/>
    </row>
    <row r="13" ht="15" customHeight="1" s="92">
      <c r="A13" s="102" t="inlineStr">
        <is>
          <t>Checker</t>
        </is>
      </c>
      <c r="B13" s="103" t="n"/>
      <c r="C13" s="100" t="n"/>
      <c r="D13" s="104" t="n"/>
    </row>
    <row r="14" ht="15" customHeight="1" s="92">
      <c r="A14" s="102" t="inlineStr">
        <is>
          <t>Date</t>
        </is>
      </c>
      <c r="B14" s="103" t="n"/>
      <c r="C14" s="100" t="n"/>
      <c r="D14" s="104" t="n"/>
    </row>
    <row r="15" ht="15" customHeight="1" s="92">
      <c r="A15" s="102" t="inlineStr">
        <is>
          <t>Revision</t>
        </is>
      </c>
      <c r="B15" s="103" t="inlineStr">
        <is>
          <t>R1</t>
        </is>
      </c>
      <c r="C15" s="100" t="n"/>
      <c r="D15" s="104" t="n"/>
    </row>
    <row r="16" ht="15" customHeight="1" s="92">
      <c r="A16" s="102" t="inlineStr">
        <is>
          <t>Crack geometry</t>
        </is>
      </c>
      <c r="B16" s="105" t="inlineStr">
        <is>
          <t>KPSCL</t>
        </is>
      </c>
    </row>
    <row r="17" ht="15" customHeight="1" s="92">
      <c r="A17" s="102" t="inlineStr">
        <is>
          <t>Load type</t>
        </is>
      </c>
      <c r="B17" s="105" t="inlineStr">
        <is>
          <t>CONSTANT</t>
        </is>
      </c>
    </row>
    <row r="19" ht="19.5" customHeight="1" s="92">
      <c r="A19" s="95" t="inlineStr">
        <is>
          <t>COLOUR LEGEND</t>
        </is>
      </c>
      <c r="B19" s="96" t="n"/>
      <c r="C19" s="96" t="n"/>
      <c r="D19" s="96" t="n"/>
    </row>
    <row r="20" ht="15" customHeight="1" s="92">
      <c r="A20" s="106" t="inlineStr">
        <is>
          <t>Input - edit (blue text, yellow)</t>
        </is>
      </c>
    </row>
    <row r="21" ht="15" customHeight="1" s="92">
      <c r="A21" s="107" t="inlineStr">
        <is>
          <t>Calculated / database look-up (green)</t>
        </is>
      </c>
    </row>
    <row r="22" ht="15" customHeight="1" s="92">
      <c r="A22" s="108" t="inlineStr">
        <is>
          <t>Database (read-only copy of data/*.csv)</t>
        </is>
      </c>
    </row>
    <row r="24" ht="19.5" customHeight="1" s="92">
      <c r="A24" s="95" t="inlineStr">
        <is>
          <t>WORKFLOW (PART 9 LEVEL 2, PARAGRAPH 9.4.3.2 + 9.5.1)</t>
        </is>
      </c>
      <c r="B24" s="96" t="n"/>
      <c r="C24" s="96" t="n"/>
      <c r="D24" s="96" t="n"/>
    </row>
    <row r="25" ht="15" customHeight="1" s="92">
      <c r="A25" s="109" t="inlineStr">
        <is>
          <t>Sheet</t>
        </is>
      </c>
      <c r="B25" s="109" t="inlineStr">
        <is>
          <t>Part 9 step</t>
        </is>
      </c>
      <c r="C25" s="109" t="n"/>
      <c r="D25" s="109" t="inlineStr">
        <is>
          <t>Content</t>
        </is>
      </c>
    </row>
    <row r="26" ht="15" customHeight="1" s="92">
      <c r="A26" s="110" t="inlineStr">
        <is>
          <t>1_Geometry_Flaw</t>
        </is>
      </c>
      <c r="B26" s="111" t="inlineStr">
        <is>
          <t>STEP 5 / 9.3.6</t>
        </is>
      </c>
      <c r="C26" s="111" t="n"/>
      <c r="D26" s="112" t="inlineStr">
        <is>
          <t>Plate t; measured flaw depth a (infinite length), 0 &lt; a/t &lt;= 0.8</t>
        </is>
      </c>
    </row>
    <row r="27" ht="23.85" customHeight="1" s="92">
      <c r="A27" s="110" t="inlineStr">
        <is>
          <t>2_Material</t>
        </is>
      </c>
      <c r="B27" s="111" t="inlineStr">
        <is>
          <t>STEP 3</t>
        </is>
      </c>
      <c r="C27" s="111" t="n"/>
      <c r="D27" s="112" t="inlineStr">
        <is>
          <t>Material from database, strengths at assessment temperature, Fig. 9.19 cut-off</t>
        </is>
      </c>
    </row>
    <row r="28" ht="15" customHeight="1" s="92">
      <c r="A28" s="110" t="inlineStr">
        <is>
          <t>3_Toughness</t>
        </is>
      </c>
      <c r="B28" s="111" t="inlineStr">
        <is>
          <t>STEP 4 / Annex 9F</t>
        </is>
      </c>
      <c r="C28" s="111" t="n"/>
      <c r="D28" s="112" t="inlineStr">
        <is>
          <t>Kmat route: project, Table 9F.1 tests, 9F.4.2-9F.4.7, 9F.4.12</t>
        </is>
      </c>
    </row>
    <row r="29" ht="15" customHeight="1" s="92">
      <c r="A29" s="110" t="inlineStr">
        <is>
          <t>4_Crack_Growth</t>
        </is>
      </c>
      <c r="B29" s="111" t="inlineStr">
        <is>
          <t>9.5.1 / Annex 9F.5</t>
        </is>
      </c>
      <c r="C29" s="111" t="n"/>
      <c r="D29" s="112" t="inlineStr">
        <is>
          <t>Growth model (Tables 9F.4-9F.9, Eqs. 9F.135-9F.169)</t>
        </is>
      </c>
    </row>
    <row r="30" ht="23.85" customHeight="1" s="92">
      <c r="A30" s="110" t="inlineStr">
        <is>
          <t>5_Loads</t>
        </is>
      </c>
      <c r="B30" s="111" t="inlineStr">
        <is>
          <t>STEPs 1-2 / 9C.2.2</t>
        </is>
      </c>
      <c r="C30" s="111" t="n"/>
      <c r="D30" s="112" t="inlineStr">
        <is>
          <t>Stress distribution (Fourth Order Polynomial - KPSCL1 / Arbitrary - KPSCL2) and input format</t>
        </is>
      </c>
    </row>
    <row r="31" ht="15" customHeight="1" s="92">
      <c r="A31" s="110" t="inlineStr">
        <is>
          <t>5B_Stress_Profile</t>
        </is>
      </c>
      <c r="B31" s="111" t="inlineStr">
        <is>
          <t>9B.2.2 / 9B.14</t>
        </is>
      </c>
      <c r="C31" s="111" t="n"/>
      <c r="D31" s="112" t="inlineStr">
        <is>
          <t>Arbitrary through-wall stress profile (primary, secondary, residual)</t>
        </is>
      </c>
    </row>
    <row r="32" ht="15" customHeight="1" s="92">
      <c r="A32" s="110" t="inlineStr">
        <is>
          <t>6_Residual_Stress</t>
        </is>
      </c>
      <c r="B32" s="111" t="inlineStr">
        <is>
          <t>Annex 9D</t>
        </is>
      </c>
      <c r="C32" s="111" t="n"/>
      <c r="D32" s="112" t="inlineStr">
        <is>
          <t>None / user / Annex 9D PWHT, as-welded, uniform yield / user profile</t>
        </is>
      </c>
    </row>
    <row r="33" ht="15" customHeight="1" s="92">
      <c r="A33" s="110" t="inlineStr">
        <is>
          <t>8_Controls</t>
        </is>
      </c>
      <c r="B33" s="111" t="inlineStr">
        <is>
          <t>Numerics / 9.5.1.2</t>
        </is>
      </c>
      <c r="C33" s="111" t="n"/>
      <c r="D33" s="112" t="inlineStr">
        <is>
          <t>Integration controls and remaining-life acceptance</t>
        </is>
      </c>
    </row>
    <row r="34" ht="23.85" customHeight="1" s="92">
      <c r="A34" s="110" t="inlineStr">
        <is>
          <t>9_Level3</t>
        </is>
      </c>
      <c r="B34" s="111" t="inlineStr">
        <is>
          <t>9.4.4 Level 3</t>
        </is>
      </c>
      <c r="C34" s="111" t="n"/>
      <c r="D34" s="112" t="inlineStr">
        <is>
          <t>Method A sensitivity / partial safety factors, Method D ductile tearing (J-R curve)</t>
        </is>
      </c>
    </row>
    <row r="36" ht="19.5" customHeight="1" s="92">
      <c r="A36" s="95" t="inlineStr">
        <is>
          <t>HOW TO RUN</t>
        </is>
      </c>
      <c r="B36" s="96" t="n"/>
      <c r="C36" s="96" t="n"/>
      <c r="D36" s="96" t="n"/>
    </row>
    <row r="37" ht="15" customHeight="1" s="92">
      <c r="A37" s="113" t="inlineStr">
        <is>
          <t>1. Select the unit system, edit only yellow cells (use the drop-downs) and save the workbook.</t>
        </is>
      </c>
    </row>
    <row r="38" ht="15" customHeight="1" s="92">
      <c r="A38" s="113" t="inlineStr">
        <is>
          <t>2. python RUN_THIS_CASE.py   (or from the package root: python ENGINE/run_case.py)</t>
        </is>
      </c>
    </row>
    <row r="39" ht="15" customHeight="1" s="92">
      <c r="A39" s="113" t="inlineStr">
        <is>
          <t>3. Results appear in OUTPUT/ (output workbook - open Dashboard first) and PLOTS/ (images + plot-data workbook),</t>
        </is>
      </c>
    </row>
    <row r="40" ht="15" customHeight="1" s="92">
      <c r="A40" s="113" t="inlineStr">
        <is>
          <t xml:space="preserve">   in the selected unit system only. Each run replaces the previous results of this case.</t>
        </is>
      </c>
    </row>
    <row r="41" ht="15" customHeight="1" s="92">
      <c r="A41" s="113" t="inlineStr">
        <is>
          <t>4. Database sheets are display copies of ENGINE/data/*.csv, which the solver always uses.</t>
        </is>
      </c>
    </row>
  </sheetData>
  <mergeCells count="21">
    <mergeCell ref="B11:D11"/>
    <mergeCell ref="B14:D14"/>
    <mergeCell ref="A8:D8"/>
    <mergeCell ref="A4:D4"/>
    <mergeCell ref="C5:D5"/>
    <mergeCell ref="A38:D38"/>
    <mergeCell ref="B13:D13"/>
    <mergeCell ref="A19:D19"/>
    <mergeCell ref="B10:D10"/>
    <mergeCell ref="A40:D40"/>
    <mergeCell ref="A39:D39"/>
    <mergeCell ref="B9:D9"/>
    <mergeCell ref="A24:D24"/>
    <mergeCell ref="B15:D15"/>
    <mergeCell ref="A36:D36"/>
    <mergeCell ref="A1:D1"/>
    <mergeCell ref="A6:D6"/>
    <mergeCell ref="A41:D41"/>
    <mergeCell ref="A37:D37"/>
    <mergeCell ref="A2:D2"/>
    <mergeCell ref="B12:D12"/>
  </mergeCells>
  <dataValidations count="1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L_UNIT_SYSTEM</formula1>
      <formula2>0</formula2>
    </dataValidation>
  </dataValidations>
  <hyperlinks>
    <hyperlink xmlns:r="http://schemas.openxmlformats.org/officeDocument/2006/relationships" ref="A26" location="'1_Geometry_Flaw'!A1" display="1_Geometry_Flaw" r:id="rId1"/>
    <hyperlink xmlns:r="http://schemas.openxmlformats.org/officeDocument/2006/relationships" ref="A27" location="'2_Material'!A1" display="2_Material" r:id="rId2"/>
    <hyperlink xmlns:r="http://schemas.openxmlformats.org/officeDocument/2006/relationships" ref="A28" location="'3_Toughness'!A1" display="3_Toughness" r:id="rId3"/>
    <hyperlink xmlns:r="http://schemas.openxmlformats.org/officeDocument/2006/relationships" ref="A29" location="'4_Crack_Growth'!A1" display="4_Crack_Growth" r:id="rId4"/>
    <hyperlink xmlns:r="http://schemas.openxmlformats.org/officeDocument/2006/relationships" ref="A30" location="'5_Loads'!A1" display="5_Loads" r:id="rId5"/>
    <hyperlink xmlns:r="http://schemas.openxmlformats.org/officeDocument/2006/relationships" ref="A31" location="'5B_Stress_Profile'!A1" display="5B_Stress_Profile" r:id="rId6"/>
    <hyperlink xmlns:r="http://schemas.openxmlformats.org/officeDocument/2006/relationships" ref="A32" location="'6_Residual_Stress'!A1" display="6_Residual_Stress" r:id="rId7"/>
    <hyperlink xmlns:r="http://schemas.openxmlformats.org/officeDocument/2006/relationships" ref="A33" location="'8_Controls'!A1" display="8_Controls" r:id="rId8"/>
    <hyperlink xmlns:r="http://schemas.openxmlformats.org/officeDocument/2006/relationships" ref="A34" location="'9_Level3'!A1" display="9_Level3" r:id="rId9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14">
        <f>"GEOMETRY FLAW  -  KPSCL1 / KPSCL2 / RPSCL  ("&amp;UNIT_SYSTEM&amp;" UNITS)"</f>
        <v/>
      </c>
    </row>
    <row r="2" ht="15" customHeight="1" s="92">
      <c r="A2" s="115" t="inlineStr">
        <is>
          <t>Figure 9B.2(b): plate thickness t, surface crack of depth a and infinite length</t>
        </is>
      </c>
    </row>
    <row r="3" ht="15" customHeight="1" s="92">
      <c r="A3" s="116" t="inlineStr">
        <is>
          <t>Parameter</t>
        </is>
      </c>
      <c r="B3" s="116" t="inlineStr">
        <is>
          <t>Value</t>
        </is>
      </c>
      <c r="C3" s="116" t="inlineStr">
        <is>
          <t>Unit</t>
        </is>
      </c>
      <c r="D3" s="116" t="inlineStr">
        <is>
          <t>API 579 reference / note</t>
        </is>
      </c>
      <c r="E3" s="116" t="inlineStr">
        <is>
          <t>Status</t>
        </is>
      </c>
    </row>
    <row r="4" ht="19.5" customHeight="1" s="92">
      <c r="A4" s="117" t="inlineStr">
        <is>
          <t>PLATE GEOMETRY (Figure 9B.2(b))</t>
        </is>
      </c>
      <c r="B4" s="118" t="n"/>
      <c r="C4" s="118" t="n"/>
      <c r="D4" s="118" t="n"/>
      <c r="E4" s="118" t="n"/>
    </row>
    <row r="5" ht="15" customHeight="1" s="92">
      <c r="A5" s="111" t="inlineStr">
        <is>
          <t>Plate thickness, t</t>
        </is>
      </c>
      <c r="B5" s="119">
        <f>IF(UNIT_SYSTEM="SI",20,0.78740157480315)</f>
        <v/>
      </c>
      <c r="C5" s="120">
        <f>IF(UNIT_SYSTEM="SI","mm","in")</f>
        <v/>
      </c>
      <c r="D5" s="121" t="n"/>
      <c r="E5" s="122" t="inlineStr">
        <is>
          <t>INPUT</t>
        </is>
      </c>
    </row>
    <row r="6" ht="19.5" customHeight="1" s="92">
      <c r="A6" s="117" t="inlineStr">
        <is>
          <t>FLAW CHARACTERIZATION (paragraph 9.3.6.3)</t>
        </is>
      </c>
      <c r="B6" s="118" t="n"/>
      <c r="C6" s="118" t="n"/>
      <c r="D6" s="118" t="n"/>
      <c r="E6" s="118" t="n"/>
    </row>
    <row r="7" ht="15" customHeight="1" s="92">
      <c r="A7" s="111" t="inlineStr">
        <is>
          <t>Measured flaw depth, a</t>
        </is>
      </c>
      <c r="B7" s="119">
        <f>IF(UNIT_SYSTEM="SI",3,0.118110236220472)</f>
        <v/>
      </c>
      <c r="C7" s="120">
        <f>IF(UNIT_SYSTEM="SI","mm","in")</f>
        <v/>
      </c>
      <c r="D7" s="121" t="inlineStr">
        <is>
          <t>Depth from the cracked surface (9.3.6.3); 0 &lt; a/t &lt;= 0.8</t>
        </is>
      </c>
      <c r="E7" s="122" t="inlineStr">
        <is>
          <t>INPUT</t>
        </is>
      </c>
    </row>
    <row r="8" ht="15" customHeight="1" s="92">
      <c r="A8" s="111" t="inlineStr">
        <is>
          <t>Measured flaw length 2c (information)</t>
        </is>
      </c>
      <c r="B8" s="123" t="n"/>
      <c r="C8" s="120">
        <f>IF(UNIT_SYSTEM="SI","mm","in")</f>
        <v/>
      </c>
      <c r="D8" s="121" t="inlineStr">
        <is>
          <t>Infinite length is assumed - a conservative bound for long surface flaws</t>
        </is>
      </c>
      <c r="E8" s="122" t="inlineStr">
        <is>
          <t>INPUT</t>
        </is>
      </c>
    </row>
    <row r="9" ht="19.5" customHeight="1" s="92">
      <c r="A9" s="117" t="inlineStr">
        <is>
          <t>RESULTING ASSESSMENT FLAW</t>
        </is>
      </c>
      <c r="B9" s="118" t="n"/>
      <c r="C9" s="118" t="n"/>
      <c r="D9" s="118" t="n"/>
      <c r="E9" s="118" t="n"/>
    </row>
    <row r="10" ht="15" customHeight="1" s="92">
      <c r="A10" s="124" t="inlineStr">
        <is>
          <t>Assessment depth a0</t>
        </is>
      </c>
      <c r="B10" s="125">
        <f>in_a_m</f>
        <v/>
      </c>
      <c r="C10" s="120">
        <f>IF(UNIT_SYSTEM="SI","mm","in")</f>
        <v/>
      </c>
      <c r="D10" s="121" t="inlineStr">
        <is>
          <t>Used as initial crack depth</t>
        </is>
      </c>
      <c r="E10" s="126" t="inlineStr">
        <is>
          <t>CALC</t>
        </is>
      </c>
    </row>
    <row r="11" ht="15" customHeight="1" s="92">
      <c r="A11" s="124" t="inlineStr">
        <is>
          <t>a0/t</t>
        </is>
      </c>
      <c r="B11" s="125">
        <f>in_a_m/in_t</f>
        <v/>
      </c>
      <c r="C11" s="120" t="inlineStr">
        <is>
          <t>-</t>
        </is>
      </c>
      <c r="D11" s="121" t="inlineStr">
        <is>
          <t>9B.3.2.2(d): 0 &lt; a/t &lt;= 0.8</t>
        </is>
      </c>
      <c r="E11" s="126" t="inlineStr">
        <is>
          <t>CALC</t>
        </is>
      </c>
    </row>
    <row r="12" ht="15" customHeight="1" s="92">
      <c r="A12" s="124" t="inlineStr">
        <is>
          <t>KPSCL applicability</t>
        </is>
      </c>
      <c r="B12" s="127">
        <f>IF(AND(calc_at&gt;0,calc_at&lt;=0.8),"OK","OUT OF RANGE")</f>
        <v/>
      </c>
      <c r="C12" s="120" t="n"/>
      <c r="D12" s="121" t="n"/>
      <c r="E12" s="126" t="inlineStr">
        <is>
          <t>CALC</t>
        </is>
      </c>
    </row>
    <row r="13" ht="15" customHeight="1" s="92">
      <c r="A13" s="124" t="inlineStr">
        <is>
          <t>Influence coefficient G0 at a0</t>
        </is>
      </c>
      <c r="B13" s="125">
        <f>1.1202+6.0061*calc_at^2-1.3891*calc_at^4+7.926*calc_at^6+31.914*calc_at^8</f>
        <v/>
      </c>
      <c r="C13" s="120" t="inlineStr">
        <is>
          <t>-</t>
        </is>
      </c>
      <c r="D13" s="121" t="inlineStr">
        <is>
          <t>Eq. 9B.13, Table 9B.2</t>
        </is>
      </c>
      <c r="E13" s="126" t="inlineStr">
        <is>
          <t>CALC</t>
        </is>
      </c>
    </row>
    <row r="14" ht="15" customHeight="1" s="92">
      <c r="A14" s="124" t="inlineStr">
        <is>
          <t>Influence coefficient G1 at a0</t>
        </is>
      </c>
      <c r="B14" s="125">
        <f>0.68109+2.3137*calc_at^2-0.71895*calc_at^4+3.114*calc_at^6+10.702*calc_at^8</f>
        <v/>
      </c>
      <c r="C14" s="120" t="inlineStr">
        <is>
          <t>-</t>
        </is>
      </c>
      <c r="D14" s="121" t="inlineStr">
        <is>
          <t>Eq. 9B.13, Table 9B.2</t>
        </is>
      </c>
      <c r="E14" s="126" t="inlineStr">
        <is>
          <t>CALC</t>
        </is>
      </c>
    </row>
    <row r="15" ht="27.75" customHeight="1" s="92">
      <c r="A15" s="128" t="inlineStr">
        <is>
          <t>Infinite length is a conservative bound for a long surface flaw. No restraint on the plate ends is assumed (9B.3.2.2(e)); the reference stress uses Eq. 9C.31 (negligible bending restraint).</t>
        </is>
      </c>
    </row>
  </sheetData>
  <mergeCells count="6">
    <mergeCell ref="A4:E4"/>
    <mergeCell ref="A2:E2"/>
    <mergeCell ref="A15:E15"/>
    <mergeCell ref="A1:E1"/>
    <mergeCell ref="A6:E6"/>
    <mergeCell ref="A9:E9"/>
  </mergeCells>
  <conditionalFormatting sqref="B12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29">
        <f>"MATERIAL  -  KPSCL1 / KPSCL2 / RPSCL  ("&amp;UNIT_SYSTEM&amp;" UNITS)"</f>
        <v/>
      </c>
    </row>
    <row r="2" ht="15" customHeight="1" s="92">
      <c r="A2" s="115" t="inlineStr">
        <is>
          <t>Paragraph 9.4.3.2 STEP 3 (strength) and Figure 9.19 (FAD cut-off). Database: DB_Materials</t>
        </is>
      </c>
    </row>
    <row r="3" ht="15" customHeight="1" s="92">
      <c r="A3" s="130" t="inlineStr">
        <is>
          <t>Parameter</t>
        </is>
      </c>
      <c r="B3" s="130" t="inlineStr">
        <is>
          <t>Value</t>
        </is>
      </c>
      <c r="C3" s="130" t="inlineStr">
        <is>
          <t>Unit</t>
        </is>
      </c>
      <c r="D3" s="130" t="inlineStr">
        <is>
          <t>API 579 reference / note</t>
        </is>
      </c>
      <c r="E3" s="130" t="inlineStr">
        <is>
          <t>Status</t>
        </is>
      </c>
    </row>
    <row r="4" ht="19.5" customHeight="1" s="92">
      <c r="A4" s="131" t="inlineStr">
        <is>
          <t>MATERIAL SELECTION</t>
        </is>
      </c>
      <c r="B4" s="132" t="n"/>
      <c r="C4" s="132" t="n"/>
      <c r="D4" s="132" t="n"/>
      <c r="E4" s="132" t="n"/>
    </row>
    <row r="5" ht="15" customHeight="1" s="92">
      <c r="A5" s="111" t="inlineStr">
        <is>
          <t>Material class filter (narrows the Material ID list)</t>
        </is>
      </c>
      <c r="B5" s="123" t="inlineStr">
        <is>
          <t>ALL</t>
        </is>
      </c>
      <c r="C5" s="120" t="inlineStr">
        <is>
          <t>-</t>
        </is>
      </c>
      <c r="D5" s="121" t="inlineStr">
        <is>
          <t>Select a class, then pick the Material ID from the filtered drop-down</t>
        </is>
      </c>
      <c r="E5" s="122" t="inlineStr">
        <is>
          <t>INPUT</t>
        </is>
      </c>
    </row>
    <row r="6" ht="15" customHeight="1" s="92">
      <c r="A6" s="111" t="inlineStr">
        <is>
          <t>Material ID</t>
        </is>
      </c>
      <c r="B6" s="123" t="inlineStr">
        <is>
          <t>REFERENCE_CS_350</t>
        </is>
      </c>
      <c r="C6" s="120" t="inlineStr">
        <is>
          <t>-</t>
        </is>
      </c>
      <c r="D6" s="121" t="inlineStr">
        <is>
          <t>Select from DB_Materials</t>
        </is>
      </c>
      <c r="E6" s="122" t="inlineStr">
        <is>
          <t>INPUT</t>
        </is>
      </c>
    </row>
    <row r="7" ht="15" customHeight="1" s="92">
      <c r="A7" s="124" t="inlineStr">
        <is>
          <t>Selected ID in filtered class?</t>
        </is>
      </c>
      <c r="B7" s="127">
        <f>IF(in_material_filter="ALL","OK",IF(ISNUMBER(MATCH(in_material_id,INDIRECT("L_MAT_"&amp;in_material_filter),0)),"OK","NOT IN CLASS - reselect ID"))</f>
        <v/>
      </c>
      <c r="C7" s="120" t="n"/>
      <c r="D7" s="121" t="inlineStr">
        <is>
          <t>Check only - the solver uses the Material ID</t>
        </is>
      </c>
      <c r="E7" s="126" t="inlineStr">
        <is>
          <t>CALC</t>
        </is>
      </c>
    </row>
    <row r="8" ht="15" customHeight="1" s="92">
      <c r="A8" s="124" t="inlineStr">
        <is>
          <t>Specification</t>
        </is>
      </c>
      <c r="B8" s="127">
        <f>IFERROR(INDEX(DB_Materials!$B:$B,MATCH(in_material_id,DB_Materials!$A:$A,0)),"")</f>
        <v/>
      </c>
      <c r="C8" s="120" t="n"/>
      <c r="D8" s="121" t="n"/>
      <c r="E8" s="126" t="inlineStr">
        <is>
          <t>CALC</t>
        </is>
      </c>
    </row>
    <row r="9" ht="15" customHeight="1" s="92">
      <c r="A9" s="124" t="inlineStr">
        <is>
          <t>Grade / class</t>
        </is>
      </c>
      <c r="B9" s="127">
        <f>IFERROR(INDEX(DB_Materials!$C:$C,MATCH(in_material_id,DB_Materials!$A:$A,0)),"")</f>
        <v/>
      </c>
      <c r="C9" s="120" t="n"/>
      <c r="D9" s="121" t="n"/>
      <c r="E9" s="126" t="inlineStr">
        <is>
          <t>CALC</t>
        </is>
      </c>
    </row>
    <row r="10" ht="15" customHeight="1" s="92">
      <c r="A10" s="124" t="inlineStr">
        <is>
          <t>Product form</t>
        </is>
      </c>
      <c r="B10" s="127">
        <f>IFERROR(INDEX(DB_Materials!$D:$D,MATCH(in_material_id,DB_Materials!$A:$A,0)),"")</f>
        <v/>
      </c>
      <c r="C10" s="120" t="n"/>
      <c r="D10" s="121" t="n"/>
      <c r="E10" s="126" t="inlineStr">
        <is>
          <t>CALC</t>
        </is>
      </c>
    </row>
    <row r="11" ht="15" customHeight="1" s="92">
      <c r="A11" s="124" t="inlineStr">
        <is>
          <t>Condition / heat treatment</t>
        </is>
      </c>
      <c r="B11" s="127">
        <f>IFERROR(INDEX(DB_Materials!$E:$E,MATCH(in_material_id,DB_Materials!$A:$A,0)),"")</f>
        <v/>
      </c>
      <c r="C11" s="120" t="n"/>
      <c r="D11" s="121" t="n"/>
      <c r="E11" s="126" t="inlineStr">
        <is>
          <t>CALC</t>
        </is>
      </c>
    </row>
    <row r="12" ht="15" customHeight="1" s="92">
      <c r="A12" s="124" t="inlineStr">
        <is>
          <t>Material class</t>
        </is>
      </c>
      <c r="B12" s="127">
        <f>IFERROR(INDEX(DB_Materials!$F:$F,MATCH(in_material_id,DB_Materials!$A:$A,0)),"")</f>
        <v/>
      </c>
      <c r="C12" s="120" t="n"/>
      <c r="D12" s="121" t="inlineStr">
        <is>
          <t>Table 9.2 class / route checks</t>
        </is>
      </c>
      <c r="E12" s="126" t="inlineStr">
        <is>
          <t>CALC</t>
        </is>
      </c>
    </row>
    <row r="13" ht="15" customHeight="1" s="92">
      <c r="A13" s="124" t="inlineStr">
        <is>
          <t>SMYS (specified minimum)</t>
        </is>
      </c>
      <c r="B13" s="133">
        <f>IFERROR(INDEX(DB_Materials!$G:$G,MATCH(in_material_id,DB_Materials!$A:$A,0)),"")</f>
        <v/>
      </c>
      <c r="C13" s="120">
        <f>IF(UNIT_SYSTEM="SI","MPa","ksi")</f>
        <v/>
      </c>
      <c r="D13" s="121" t="inlineStr">
        <is>
          <t>Ambient, per material specification</t>
        </is>
      </c>
      <c r="E13" s="126" t="inlineStr">
        <is>
          <t>CALC</t>
        </is>
      </c>
    </row>
    <row r="14" ht="15" customHeight="1" s="92">
      <c r="A14" s="124" t="inlineStr">
        <is>
          <t>SMTS (specified minimum)</t>
        </is>
      </c>
      <c r="B14" s="133">
        <f>IFERROR(INDEX(DB_Materials!$H:$H,MATCH(in_material_id,DB_Materials!$A:$A,0)),"")</f>
        <v/>
      </c>
      <c r="C14" s="120">
        <f>IF(UNIT_SYSTEM="SI","MPa","ksi")</f>
        <v/>
      </c>
      <c r="D14" s="121" t="inlineStr">
        <is>
          <t>Ambient, per material specification</t>
        </is>
      </c>
      <c r="E14" s="126" t="inlineStr">
        <is>
          <t>CALC</t>
        </is>
      </c>
    </row>
    <row r="15" ht="15" customHeight="1" s="92">
      <c r="A15" s="124" t="inlineStr">
        <is>
          <t>Typical E (ambient)</t>
        </is>
      </c>
      <c r="B15" s="134">
        <f>IFERROR(INDEX(DB_Materials!$I:$I,MATCH(in_material_id,DB_Materials!$A:$A,0)),"")</f>
        <v/>
      </c>
      <c r="C15" s="120">
        <f>IF(UNIT_SYSTEM="SI","MPa","ksi")</f>
        <v/>
      </c>
      <c r="D15" s="121" t="inlineStr">
        <is>
          <t>Typical - confirm with Annex 2E / ASME II-D</t>
        </is>
      </c>
      <c r="E15" s="126" t="inlineStr">
        <is>
          <t>CALC</t>
        </is>
      </c>
    </row>
    <row r="16" ht="15" customHeight="1" s="92">
      <c r="A16" s="124" t="inlineStr">
        <is>
          <t>ASME exemption curve</t>
        </is>
      </c>
      <c r="B16" s="127">
        <f>IFERROR(INDEX(DB_Materials!$J:$J,MATCH(in_material_id,DB_Materials!$A:$A,0)),"")</f>
        <v/>
      </c>
      <c r="C16" s="120" t="n"/>
      <c r="D16" s="121" t="inlineStr">
        <is>
          <t>Part 3 Table 3.2</t>
        </is>
      </c>
      <c r="E16" s="126" t="inlineStr">
        <is>
          <t>CALC</t>
        </is>
      </c>
    </row>
    <row r="17" ht="15" customHeight="1" s="92">
      <c r="A17" s="124" t="inlineStr">
        <is>
          <t>Lr(max) category</t>
        </is>
      </c>
      <c r="B17" s="127">
        <f>IFERROR(INDEX(DB_Materials!$K:$K,MATCH(in_material_id,DB_Materials!$A:$A,0)),"")</f>
        <v/>
      </c>
      <c r="C17" s="120" t="n"/>
      <c r="D17" s="121" t="inlineStr">
        <is>
          <t>Figure 9.19 Note 2</t>
        </is>
      </c>
      <c r="E17" s="126" t="inlineStr">
        <is>
          <t>CALC</t>
        </is>
      </c>
    </row>
    <row r="18" ht="15" customHeight="1" s="92">
      <c r="A18" s="124" t="inlineStr">
        <is>
          <t>Default growth model</t>
        </is>
      </c>
      <c r="B18" s="127">
        <f>IFERROR(INDEX(DB_Materials!$L:$L,MATCH(in_material_id,DB_Materials!$A:$A,0)),"")</f>
        <v/>
      </c>
      <c r="C18" s="120" t="n"/>
      <c r="D18" s="121" t="inlineStr">
        <is>
          <t>Used when 4_Crack_Growth = FROM_MATERIAL_DB</t>
        </is>
      </c>
      <c r="E18" s="126" t="inlineStr">
        <is>
          <t>CALC</t>
        </is>
      </c>
    </row>
    <row r="19" ht="15" customHeight="1" s="92">
      <c r="A19" s="124" t="inlineStr">
        <is>
          <t>Suggested toughness method</t>
        </is>
      </c>
      <c r="B19" s="127">
        <f>IFERROR(INDEX(DB_Materials!$M:$M,MATCH(in_material_id,DB_Materials!$A:$A,0)),"")</f>
        <v/>
      </c>
      <c r="C19" s="120" t="n"/>
      <c r="D19" s="121" t="inlineStr">
        <is>
          <t>Informative</t>
        </is>
      </c>
      <c r="E19" s="126" t="inlineStr">
        <is>
          <t>CALC</t>
        </is>
      </c>
    </row>
    <row r="20" ht="39.75" customHeight="1" s="92">
      <c r="A20" s="124" t="inlineStr">
        <is>
          <t>Database note</t>
        </is>
      </c>
      <c r="B20" s="135">
        <f>IFERROR(INDEX(DB_Materials!$S:$S,MATCH(in_material_id,DB_Materials!$A:$A,0)),"")</f>
        <v/>
      </c>
      <c r="C20" s="120" t="n"/>
      <c r="D20" s="121" t="n"/>
      <c r="E20" s="126" t="inlineStr">
        <is>
          <t>CALC</t>
        </is>
      </c>
    </row>
    <row r="21" ht="19.5" customHeight="1" s="92">
      <c r="A21" s="131" t="inlineStr">
        <is>
          <t>STRENGTH AT ASSESSMENT CONDITION (STEP 3)</t>
        </is>
      </c>
      <c r="B21" s="132" t="n"/>
      <c r="C21" s="132" t="n"/>
      <c r="D21" s="132" t="n"/>
      <c r="E21" s="132" t="n"/>
    </row>
    <row r="22" ht="15" customHeight="1" s="92">
      <c r="A22" s="111" t="inlineStr">
        <is>
          <t>Strength source (9.4.3.2 STEP 3)</t>
        </is>
      </c>
      <c r="B22" s="123" t="inlineStr">
        <is>
          <t>DATABASE_SPEC_MIN</t>
        </is>
      </c>
      <c r="C22" s="120" t="inlineStr">
        <is>
          <t>-</t>
        </is>
      </c>
      <c r="D22" s="121" t="inlineStr">
        <is>
          <t>Spec minimum (database) or approved values at assessment temperature</t>
        </is>
      </c>
      <c r="E22" s="122" t="inlineStr">
        <is>
          <t>INPUT</t>
        </is>
      </c>
    </row>
    <row r="23" ht="15" customHeight="1" s="92">
      <c r="A23" s="111" t="inlineStr">
        <is>
          <t>Project yield strength at temperature, Sy</t>
        </is>
      </c>
      <c r="B23" s="123" t="n"/>
      <c r="C23" s="120">
        <f>IF(UNIT_SYSTEM="SI","MPa","ksi")</f>
        <v/>
      </c>
      <c r="D23" s="121" t="inlineStr">
        <is>
          <t>Used when PROJECT_AT_TEMPERATURE</t>
        </is>
      </c>
      <c r="E23" s="122" t="inlineStr">
        <is>
          <t>INPUT</t>
        </is>
      </c>
    </row>
    <row r="24" ht="15" customHeight="1" s="92">
      <c r="A24" s="111" t="inlineStr">
        <is>
          <t>Project tensile strength at temperature, Su</t>
        </is>
      </c>
      <c r="B24" s="123" t="n"/>
      <c r="C24" s="120">
        <f>IF(UNIT_SYSTEM="SI","MPa","ksi")</f>
        <v/>
      </c>
      <c r="D24" s="121" t="inlineStr">
        <is>
          <t>Used when PROJECT_AT_TEMPERATURE</t>
        </is>
      </c>
      <c r="E24" s="122" t="inlineStr">
        <is>
          <t>INPUT</t>
        </is>
      </c>
    </row>
    <row r="25" ht="15" customHeight="1" s="92">
      <c r="A25" s="111" t="inlineStr">
        <is>
          <t>Project data status</t>
        </is>
      </c>
      <c r="B25" s="123" t="inlineStr">
        <is>
          <t>NOT_APPROVED</t>
        </is>
      </c>
      <c r="C25" s="120" t="inlineStr">
        <is>
          <t>-</t>
        </is>
      </c>
      <c r="D25" s="121" t="inlineStr">
        <is>
          <t>Set APPROVED for any project-entered data</t>
        </is>
      </c>
      <c r="E25" s="122" t="inlineStr">
        <is>
          <t>INPUT</t>
        </is>
      </c>
    </row>
    <row r="26" ht="15" customHeight="1" s="92">
      <c r="A26" s="124" t="inlineStr">
        <is>
          <t>Yield strength used, Sy</t>
        </is>
      </c>
      <c r="B26" s="136">
        <f>IF(in_strength_source="PROJECT_AT_TEMPERATURE",in_sy_project,db_SMYS)</f>
        <v/>
      </c>
      <c r="C26" s="120">
        <f>IF(UNIT_SYSTEM="SI","MPa","ksi")</f>
        <v/>
      </c>
      <c r="D26" s="121" t="n"/>
      <c r="E26" s="126" t="inlineStr">
        <is>
          <t>CALC</t>
        </is>
      </c>
    </row>
    <row r="27" ht="15" customHeight="1" s="92">
      <c r="A27" s="124" t="inlineStr">
        <is>
          <t>Tensile strength used, Su</t>
        </is>
      </c>
      <c r="B27" s="136">
        <f>IF(in_strength_source="PROJECT_AT_TEMPERATURE",in_su_project,db_SMTS)</f>
        <v/>
      </c>
      <c r="C27" s="120">
        <f>IF(UNIT_SYSTEM="SI","MPa","ksi")</f>
        <v/>
      </c>
      <c r="D27" s="121" t="n"/>
      <c r="E27" s="126" t="inlineStr">
        <is>
          <t>CALC</t>
        </is>
      </c>
    </row>
    <row r="28" ht="19.5" customHeight="1" s="92">
      <c r="A28" s="131" t="inlineStr">
        <is>
          <t>FAD CUT-OFF AND CONSTRAINT</t>
        </is>
      </c>
      <c r="B28" s="132" t="n"/>
      <c r="C28" s="132" t="n"/>
      <c r="D28" s="132" t="n"/>
      <c r="E28" s="132" t="n"/>
    </row>
    <row r="29" ht="15" customHeight="1" s="92">
      <c r="A29" s="111" t="inlineStr">
        <is>
          <t>FAD cut-off Lr(max) category (Fig. 9.19)</t>
        </is>
      </c>
      <c r="B29" s="123" t="inlineStr">
        <is>
          <t>FROM_DATABASE</t>
        </is>
      </c>
      <c r="C29" s="120" t="inlineStr">
        <is>
          <t>-</t>
        </is>
      </c>
      <c r="D29" s="121" t="n"/>
      <c r="E29" s="122" t="inlineStr">
        <is>
          <t>INPUT</t>
        </is>
      </c>
    </row>
    <row r="30" ht="15" customHeight="1" s="92">
      <c r="A30" s="111" t="inlineStr">
        <is>
          <t>Constraint for Eq. 9.13/9.14</t>
        </is>
      </c>
      <c r="B30" s="123" t="inlineStr">
        <is>
          <t>plane_strain</t>
        </is>
      </c>
      <c r="C30" s="120" t="inlineStr">
        <is>
          <t>-</t>
        </is>
      </c>
      <c r="D30" s="121" t="n"/>
      <c r="E30" s="122" t="inlineStr">
        <is>
          <t>INPUT</t>
        </is>
      </c>
    </row>
    <row r="31" ht="15" customHeight="1" s="92">
      <c r="A31" s="124" t="inlineStr">
        <is>
          <t>Lr(max) category used</t>
        </is>
      </c>
      <c r="B31" s="127">
        <f>IF(in_lrmax_mode="FROM_DATABASE",db_lrmax_category,in_lrmax_mode)</f>
        <v/>
      </c>
      <c r="C31" s="120" t="n"/>
      <c r="D31" s="121" t="n"/>
      <c r="E31" s="126" t="inlineStr">
        <is>
          <t>CALC</t>
        </is>
      </c>
    </row>
    <row r="32" ht="15" customHeight="1" s="92">
      <c r="A32" s="124" t="inlineStr">
        <is>
          <t>Lr(max) cut-off</t>
        </is>
      </c>
      <c r="B32" s="125">
        <f>IFERROR(IF(IF(in_lrmax_mode="FROM_DATABASE",db_lrmax_category,in_lrmax_mode)="FLOW_STRESS",(calc_sy+calc_su)/(2*calc_sy),VALUE(INDEX(DB_Lr_max!$B:$B,MATCH(IF(in_lrmax_mode="FROM_DATABASE",db_lrmax_category,in_lrmax_mode),DB_Lr_max!$A:$A,0)))),"")</f>
        <v/>
      </c>
      <c r="C32" s="120" t="inlineStr">
        <is>
          <t>-</t>
        </is>
      </c>
      <c r="D32" s="121" t="inlineStr">
        <is>
          <t>Flow stress (Sy+Su)/2 / Sy for FLOW_STRESS (Note 2(e))</t>
        </is>
      </c>
      <c r="E32" s="126" t="inlineStr">
        <is>
          <t>CALC</t>
        </is>
      </c>
    </row>
    <row r="33" ht="19.5" customHeight="1" s="92">
      <c r="A33" s="131" t="inlineStr">
        <is>
          <t>TEMPERATURE AND ELASTIC PROPERTIES</t>
        </is>
      </c>
      <c r="B33" s="132" t="n"/>
      <c r="C33" s="132" t="n"/>
      <c r="D33" s="132" t="n"/>
      <c r="E33" s="132" t="n"/>
    </row>
    <row r="34" ht="15" customHeight="1" s="92">
      <c r="A34" s="111" t="inlineStr">
        <is>
          <t>Assessment temperature, T</t>
        </is>
      </c>
      <c r="B34" s="119">
        <f>IF(UNIT_SYSTEM="SI",25,77)</f>
        <v/>
      </c>
      <c r="C34" s="120">
        <f>IF(UNIT_SYSTEM="SI","°C","°F")</f>
        <v/>
      </c>
      <c r="D34" s="121" t="n"/>
      <c r="E34" s="122" t="inlineStr">
        <is>
          <t>INPUT</t>
        </is>
      </c>
    </row>
    <row r="35" ht="15" customHeight="1" s="92">
      <c r="A35" s="111" t="inlineStr">
        <is>
          <t>Elastic modulus at T, E</t>
        </is>
      </c>
      <c r="B35" s="137">
        <f>IF(UNIT_SYSTEM="SI",200000,29007.5475460418)</f>
        <v/>
      </c>
      <c r="C35" s="120">
        <f>IF(UNIT_SYSTEM="SI","MPa","ksi")</f>
        <v/>
      </c>
      <c r="D35" s="121" t="inlineStr">
        <is>
          <t>Typical values in DB; confirm with Annex 2E / ASME II-D</t>
        </is>
      </c>
      <c r="E35" s="122" t="inlineStr">
        <is>
          <t>INPUT</t>
        </is>
      </c>
    </row>
    <row r="36" ht="15" customHeight="1" s="92">
      <c r="A36" s="111" t="inlineStr">
        <is>
          <t>Poisson's ratio, nu</t>
        </is>
      </c>
      <c r="B36" s="119" t="n">
        <v>0.3</v>
      </c>
      <c r="C36" s="120" t="inlineStr">
        <is>
          <t>-</t>
        </is>
      </c>
      <c r="D36" s="121" t="n"/>
      <c r="E36" s="122" t="inlineStr">
        <is>
          <t>INPUT</t>
        </is>
      </c>
    </row>
  </sheetData>
  <mergeCells count="6">
    <mergeCell ref="A21:E21"/>
    <mergeCell ref="A4:E4"/>
    <mergeCell ref="A2:E2"/>
    <mergeCell ref="A28:E28"/>
    <mergeCell ref="A33:E33"/>
    <mergeCell ref="A1:E1"/>
  </mergeCells>
  <dataValidations count="6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L_MATERIAL_FILTER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INDIRECT("L_MAT_"&amp;in_material_filter)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L_STRENGTH_SOURCE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L_DATA_STATUS</formula1>
      <formula2>0</formula2>
    </dataValidation>
    <dataValidation sqref="B29" showDropDown="0" showInputMessage="1" showErrorMessage="1" allowBlank="1" errorTitle="ATLAS input" error="Select a value from the drop-down list" promptTitle="ATLAS" prompt="Select from the list" type="list" errorStyle="stop" operator="between">
      <formula1>L_LRMAX_MODE</formula1>
      <formula2>0</formula2>
    </dataValidation>
    <dataValidation sqref="B30" showDropDown="0" showInputMessage="1" showErrorMessage="1" allowBlank="1" errorTitle="ATLAS input" error="Select a value from the drop-down list" promptTitle="ATLAS" prompt="Select from the list" type="list" errorStyle="stop" operator="between">
      <formula1>L_CONSTRAINT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55A11"/>
    <outlinePr summaryBelow="1" summaryRight="1"/>
    <pageSetUpPr fitToPage="1"/>
  </sheetPr>
  <dimension ref="A1:H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  <col width="10" customWidth="1" style="91" min="7" max="7"/>
    <col width="16" customWidth="1" style="91" min="8" max="8"/>
  </cols>
  <sheetData>
    <row r="1" ht="25.5" customHeight="1" s="92">
      <c r="A1" s="138">
        <f>"TOUGHNESS  -  KPSCL1 / KPSCL2 / RPSCL  ("&amp;UNIT_SYSTEM&amp;" UNITS)"</f>
        <v/>
      </c>
    </row>
    <row r="2" ht="15" customHeight="1" s="92">
      <c r="A2" s="115" t="inlineStr">
        <is>
          <t>Paragraph 9.4.3.2 STEP 4 and Annex 9F.4. Only the inputs of the selected method are used.</t>
        </is>
      </c>
    </row>
    <row r="3" ht="15" customHeight="1" s="92">
      <c r="A3" s="139" t="inlineStr">
        <is>
          <t>Parameter</t>
        </is>
      </c>
      <c r="B3" s="139" t="inlineStr">
        <is>
          <t>Value</t>
        </is>
      </c>
      <c r="C3" s="139" t="inlineStr">
        <is>
          <t>Unit</t>
        </is>
      </c>
      <c r="D3" s="139" t="inlineStr">
        <is>
          <t>API 579 reference / note</t>
        </is>
      </c>
      <c r="E3" s="139" t="inlineStr">
        <is>
          <t>Status</t>
        </is>
      </c>
      <c r="G3" s="139" t="inlineStr">
        <is>
          <t>Test #</t>
        </is>
      </c>
      <c r="H3" s="139">
        <f>IF(UNIT_SYSTEM="SI","K (MPa√m)","K (ksi√in)")</f>
        <v/>
      </c>
    </row>
    <row r="4" ht="19.5" customHeight="1" s="92">
      <c r="A4" s="140" t="inlineStr">
        <is>
          <t>METHOD SELECTION</t>
        </is>
      </c>
      <c r="B4" s="141" t="n"/>
      <c r="C4" s="141" t="n"/>
      <c r="D4" s="141" t="n"/>
      <c r="E4" s="141" t="n"/>
      <c r="G4" s="142" t="n">
        <v>1</v>
      </c>
      <c r="H4" s="143" t="n"/>
    </row>
    <row r="5" ht="15" customHeight="1" s="92">
      <c r="A5" s="111" t="inlineStr">
        <is>
          <t>Toughness method (Part 9 STEP 4)</t>
        </is>
      </c>
      <c r="B5" s="123" t="inlineStr">
        <is>
          <t>PROJECT_KMAT</t>
        </is>
      </c>
      <c r="C5" s="120" t="inlineStr">
        <is>
          <t>-</t>
        </is>
      </c>
      <c r="D5" s="121" t="n"/>
      <c r="E5" s="122" t="inlineStr">
        <is>
          <t>INPUT</t>
        </is>
      </c>
      <c r="G5" s="142" t="n">
        <v>2</v>
      </c>
      <c r="H5" s="143" t="n"/>
    </row>
    <row r="6" ht="15" customHeight="1" s="92">
      <c r="A6" s="124" t="inlineStr">
        <is>
          <t>Clause</t>
        </is>
      </c>
      <c r="B6" s="127">
        <f>IFERROR(INDEX(DB_Toughness!$B:$B,MATCH(in_method,DB_Toughness!$A:$A,0)),"")</f>
        <v/>
      </c>
      <c r="C6" s="120" t="n"/>
      <c r="D6" s="121" t="n"/>
      <c r="E6" s="126" t="inlineStr">
        <is>
          <t>CALC</t>
        </is>
      </c>
      <c r="G6" s="142" t="n">
        <v>3</v>
      </c>
      <c r="H6" s="143" t="n"/>
    </row>
    <row r="7" ht="42" customHeight="1" s="92">
      <c r="A7" s="124" t="inlineStr">
        <is>
          <t>Method summary</t>
        </is>
      </c>
      <c r="B7" s="135">
        <f>IFERROR(INDEX(DB_Toughness!$E:$E,MATCH(in_method,DB_Toughness!$A:$A,0)),"")</f>
        <v/>
      </c>
      <c r="C7" s="120" t="n"/>
      <c r="D7" s="121" t="n"/>
      <c r="E7" s="126" t="inlineStr">
        <is>
          <t>CALC</t>
        </is>
      </c>
      <c r="G7" s="142" t="n">
        <v>4</v>
      </c>
      <c r="H7" s="143" t="n"/>
    </row>
    <row r="8" ht="19.5" customHeight="1" s="92">
      <c r="A8" s="140" t="inlineStr">
        <is>
          <t>PROJECT_KMAT  (9.3.5.2)</t>
        </is>
      </c>
      <c r="B8" s="141" t="n"/>
      <c r="C8" s="141" t="n"/>
      <c r="D8" s="141" t="n"/>
      <c r="E8" s="141" t="n"/>
      <c r="G8" s="142" t="n">
        <v>5</v>
      </c>
      <c r="H8" s="143" t="n"/>
    </row>
    <row r="9" ht="15" customHeight="1" s="92">
      <c r="A9" s="111" t="inlineStr">
        <is>
          <t>Project Kmat (approved)</t>
        </is>
      </c>
      <c r="B9" s="123" t="n"/>
      <c r="C9" s="120">
        <f>IF(UNIT_SYSTEM="SI","MPa√m","ksi√in")</f>
        <v/>
      </c>
      <c r="D9" s="121" t="inlineStr">
        <is>
          <t>PROJECT_KMAT when the material record has no Kmat</t>
        </is>
      </c>
      <c r="E9" s="122" t="inlineStr">
        <is>
          <t>INPUT</t>
        </is>
      </c>
      <c r="G9" s="142" t="n">
        <v>6</v>
      </c>
      <c r="H9" s="143" t="n"/>
    </row>
    <row r="10" ht="19.5" customHeight="1" s="92">
      <c r="A10" s="140" t="inlineStr">
        <is>
          <t>PROJECT_TEST_SET  (Table 9F.1, enter results in column H)</t>
        </is>
      </c>
      <c r="B10" s="141" t="n"/>
      <c r="C10" s="141" t="n"/>
      <c r="D10" s="141" t="n"/>
      <c r="E10" s="141" t="n"/>
      <c r="G10" s="142" t="n">
        <v>7</v>
      </c>
      <c r="H10" s="143" t="n"/>
    </row>
    <row r="11" ht="15" customHeight="1" s="92">
      <c r="A11" s="124" t="inlineStr">
        <is>
          <t>Number of tests</t>
        </is>
      </c>
      <c r="B11" s="144">
        <f>COUNT($H$4:$H$33)</f>
        <v/>
      </c>
      <c r="C11" s="120" t="inlineStr">
        <is>
          <t>-</t>
        </is>
      </c>
      <c r="D11" s="121" t="inlineStr">
        <is>
          <t>3 to 30 tests</t>
        </is>
      </c>
      <c r="E11" s="126" t="inlineStr">
        <is>
          <t>CALC</t>
        </is>
      </c>
      <c r="G11" s="142" t="n">
        <v>8</v>
      </c>
      <c r="H11" s="143" t="n"/>
    </row>
    <row r="12" ht="15" customHeight="1" s="92">
      <c r="A12" s="124" t="inlineStr">
        <is>
          <t>Equivalent minimum-of-three</t>
        </is>
      </c>
      <c r="B12" s="136">
        <f>IF(COUNT($H$4:$H$33)&lt;3,"n &lt; 3",SMALL($H$4:$H$33,INT((COUNT($H$4:$H$33)-1)/5)+1))</f>
        <v/>
      </c>
      <c r="C12" s="120">
        <f>IF(UNIT_SYSTEM="SI","MPa√m","ksi√in")</f>
        <v/>
      </c>
      <c r="D12" s="121" t="inlineStr">
        <is>
          <t>Table 9F.1 rank: 3-5 lowest, 6-10 2nd lowest, ...</t>
        </is>
      </c>
      <c r="E12" s="126" t="inlineStr">
        <is>
          <t>CALC</t>
        </is>
      </c>
      <c r="G12" s="142" t="n">
        <v>9</v>
      </c>
      <c r="H12" s="143" t="n"/>
    </row>
    <row r="13" ht="15" customHeight="1" s="92">
      <c r="A13" s="124" t="inlineStr">
        <is>
          <t>Scatter check (3 tests, Note 2)</t>
        </is>
      </c>
      <c r="B13" s="127">
        <f>IF(COUNT($H$4:$H$33)&lt;&gt;3,"-",IF(OR(MIN($H$4:$H$33)&lt;0.7*AVERAGE($H$4:$H$33),MAX($H$4:$H$33)&gt;1.4*AVERAGE($H$4:$H$33)),"EXCESSIVE","OK"))</f>
        <v/>
      </c>
      <c r="C13" s="120" t="n"/>
      <c r="D13" s="121" t="n"/>
      <c r="E13" s="126" t="inlineStr">
        <is>
          <t>CALC</t>
        </is>
      </c>
      <c r="G13" s="142" t="n">
        <v>10</v>
      </c>
      <c r="H13" s="143" t="n"/>
    </row>
    <row r="14" ht="19.5" customHeight="1" s="92">
      <c r="A14" s="140" t="inlineStr">
        <is>
          <t>9F412_AUSTENITIC_JC  (9F.4.12, Table 9F.2)</t>
        </is>
      </c>
      <c r="B14" s="141" t="n"/>
      <c r="C14" s="141" t="n"/>
      <c r="D14" s="141" t="n"/>
      <c r="E14" s="141" t="n"/>
      <c r="G14" s="142" t="n">
        <v>11</v>
      </c>
      <c r="H14" s="143" t="n"/>
    </row>
    <row r="15" ht="15" customHeight="1" s="92">
      <c r="A15" s="111" t="inlineStr">
        <is>
          <t>9F.2 austenitic condition</t>
        </is>
      </c>
      <c r="B15" s="123" t="inlineStr">
        <is>
          <t>WROUGHT</t>
        </is>
      </c>
      <c r="C15" s="120" t="inlineStr">
        <is>
          <t>-</t>
        </is>
      </c>
      <c r="D15" s="121" t="n"/>
      <c r="E15" s="122" t="inlineStr">
        <is>
          <t>INPUT</t>
        </is>
      </c>
      <c r="G15" s="142" t="n">
        <v>12</v>
      </c>
      <c r="H15" s="143" t="n"/>
    </row>
    <row r="16" ht="15" customHeight="1" s="92">
      <c r="A16" s="111" t="inlineStr">
        <is>
          <t>9F.2 Jc basis</t>
        </is>
      </c>
      <c r="B16" s="123" t="inlineStr">
        <is>
          <t>LOWER</t>
        </is>
      </c>
      <c r="C16" s="120" t="inlineStr">
        <is>
          <t>-</t>
        </is>
      </c>
      <c r="D16" s="121" t="inlineStr">
        <is>
          <t>LOWER = 90/95 lower bound</t>
        </is>
      </c>
      <c r="E16" s="122" t="inlineStr">
        <is>
          <t>INPUT</t>
        </is>
      </c>
      <c r="G16" s="142" t="n">
        <v>13</v>
      </c>
      <c r="H16" s="143" t="n"/>
    </row>
    <row r="17" ht="19.5" customHeight="1" s="92">
      <c r="A17" s="140" t="inlineStr">
        <is>
          <t>9F42_ASME_XI_LOWER  (9F.4.2)</t>
        </is>
      </c>
      <c r="B17" s="141" t="n"/>
      <c r="C17" s="141" t="n"/>
      <c r="D17" s="141" t="n"/>
      <c r="E17" s="141" t="n"/>
      <c r="G17" s="142" t="n">
        <v>14</v>
      </c>
      <c r="H17" s="143" t="n"/>
    </row>
    <row r="18" ht="15" customHeight="1" s="92">
      <c r="A18" s="111" t="inlineStr">
        <is>
          <t>Reference temperature mode (9F.4.2.2)</t>
        </is>
      </c>
      <c r="B18" s="123" t="inlineStr">
        <is>
          <t>EQ_9F29</t>
        </is>
      </c>
      <c r="C18" s="120" t="inlineStr">
        <is>
          <t>-</t>
        </is>
      </c>
      <c r="D18" s="121" t="n"/>
      <c r="E18" s="122" t="inlineStr">
        <is>
          <t>INPUT</t>
        </is>
      </c>
      <c r="G18" s="142" t="n">
        <v>15</v>
      </c>
      <c r="H18" s="143" t="n"/>
    </row>
    <row r="19" ht="15" customHeight="1" s="92">
      <c r="A19" s="111" t="inlineStr">
        <is>
          <t>Tref / RTNDT (DIRECT)</t>
        </is>
      </c>
      <c r="B19" s="119">
        <f>IF(UNIT_SYSTEM="SI",0,32)</f>
        <v/>
      </c>
      <c r="C19" s="120">
        <f>IF(UNIT_SYSTEM="SI","°C","°F")</f>
        <v/>
      </c>
      <c r="D19" s="121" t="n"/>
      <c r="E19" s="122" t="inlineStr">
        <is>
          <t>INPUT</t>
        </is>
      </c>
      <c r="G19" s="142" t="n">
        <v>16</v>
      </c>
      <c r="H19" s="143" t="n"/>
    </row>
    <row r="20" ht="15" customHeight="1" s="92">
      <c r="A20" s="111" t="inlineStr">
        <is>
          <t>ASME exemption curve (Part 3 Table 3.2)</t>
        </is>
      </c>
      <c r="B20" s="123" t="inlineStr">
        <is>
          <t>FROM_DATABASE</t>
        </is>
      </c>
      <c r="C20" s="120" t="inlineStr">
        <is>
          <t>-</t>
        </is>
      </c>
      <c r="D20" s="121" t="n"/>
      <c r="E20" s="122" t="inlineStr">
        <is>
          <t>INPUT</t>
        </is>
      </c>
      <c r="G20" s="142" t="n">
        <v>17</v>
      </c>
      <c r="H20" s="143" t="n"/>
    </row>
    <row r="21" ht="15" customHeight="1" s="92">
      <c r="A21" s="111" t="inlineStr">
        <is>
          <t>Section XI curve</t>
        </is>
      </c>
      <c r="B21" s="123" t="inlineStr">
        <is>
          <t>KIC</t>
        </is>
      </c>
      <c r="C21" s="120" t="inlineStr">
        <is>
          <t>-</t>
        </is>
      </c>
      <c r="D21" s="121" t="inlineStr">
        <is>
          <t>KIC Eq. 9F.44 / KIR Eq. 9F.46</t>
        </is>
      </c>
      <c r="E21" s="122" t="inlineStr">
        <is>
          <t>INPUT</t>
        </is>
      </c>
      <c r="G21" s="142" t="n">
        <v>18</v>
      </c>
      <c r="H21" s="143" t="n"/>
    </row>
    <row r="22" ht="15" customHeight="1" s="92">
      <c r="A22" s="111" t="inlineStr">
        <is>
          <t>Upper-shelf truncation 9F.4.2.1(e)</t>
        </is>
      </c>
      <c r="B22" s="137">
        <f>IF(UNIT_SYSTEM="SI",110,100)</f>
        <v/>
      </c>
      <c r="C22" s="120">
        <f>IF(UNIT_SYSTEM="SI","MPa√m","ksi√in")</f>
        <v/>
      </c>
      <c r="D22" s="121" t="inlineStr">
        <is>
          <t>SI: 110 or 220 MPa√m.  FPS: 100 or 200 ksi√in</t>
        </is>
      </c>
      <c r="E22" s="122" t="inlineStr">
        <is>
          <t>INPUT</t>
        </is>
      </c>
      <c r="G22" s="142" t="n">
        <v>19</v>
      </c>
      <c r="H22" s="143" t="n"/>
    </row>
    <row r="23" ht="15" customHeight="1" s="92">
      <c r="A23" s="124" t="inlineStr">
        <is>
          <t>Exemption curve used</t>
        </is>
      </c>
      <c r="B23" s="127">
        <f>IF(in_curve_mode="FROM_DATABASE",db_exemption_curve,in_curve_mode)</f>
        <v/>
      </c>
      <c r="C23" s="120" t="n"/>
      <c r="D23" s="121" t="inlineStr">
        <is>
          <t>Also used by Master Curve Option A</t>
        </is>
      </c>
      <c r="E23" s="126" t="inlineStr">
        <is>
          <t>CALC</t>
        </is>
      </c>
      <c r="G23" s="142" t="n">
        <v>20</v>
      </c>
      <c r="H23" s="143" t="n"/>
    </row>
    <row r="24" ht="19.5" customHeight="1" s="92">
      <c r="A24" s="140" t="inlineStr">
        <is>
          <t>9F43_MASTER_CURVE  (9F.4.3) - also base for 9F45 / 9F47</t>
        </is>
      </c>
      <c r="B24" s="141" t="n"/>
      <c r="C24" s="141" t="n"/>
      <c r="D24" s="141" t="n"/>
      <c r="E24" s="141" t="n"/>
      <c r="G24" s="142" t="n">
        <v>21</v>
      </c>
      <c r="H24" s="143" t="n"/>
    </row>
    <row r="25" ht="15" customHeight="1" s="92">
      <c r="A25" s="111" t="inlineStr">
        <is>
          <t>Master Curve T0 mode (9F.4.3.2)</t>
        </is>
      </c>
      <c r="B25" s="123" t="inlineStr">
        <is>
          <t>OPTION_A_EXEMPTION</t>
        </is>
      </c>
      <c r="C25" s="120" t="inlineStr">
        <is>
          <t>-</t>
        </is>
      </c>
      <c r="D25" s="121" t="n"/>
      <c r="E25" s="122" t="inlineStr">
        <is>
          <t>INPUT</t>
        </is>
      </c>
      <c r="G25" s="142" t="n">
        <v>22</v>
      </c>
      <c r="H25" s="143" t="n"/>
    </row>
    <row r="26" ht="15" customHeight="1" s="92">
      <c r="A26" s="111" t="inlineStr">
        <is>
          <t>Master Curve T0 (DIRECT)</t>
        </is>
      </c>
      <c r="B26" s="119">
        <f>IF(UNIT_SYSTEM="SI",0,32)</f>
        <v/>
      </c>
      <c r="C26" s="120">
        <f>IF(UNIT_SYSTEM="SI","°C","°F")</f>
        <v/>
      </c>
      <c r="D26" s="121" t="n"/>
      <c r="E26" s="122" t="inlineStr">
        <is>
          <t>INPUT</t>
        </is>
      </c>
      <c r="G26" s="142" t="n">
        <v>23</v>
      </c>
      <c r="H26" s="143" t="n"/>
    </row>
    <row r="27" ht="15" customHeight="1" s="92">
      <c r="A27" s="111" t="inlineStr">
        <is>
          <t>Ambient yield strength, SyA</t>
        </is>
      </c>
      <c r="B27" s="137">
        <f>IF(UNIT_SYSTEM="SI",350,50.7632082055732)</f>
        <v/>
      </c>
      <c r="C27" s="120">
        <f>IF(UNIT_SYSTEM="SI","MPa","ksi")</f>
        <v/>
      </c>
      <c r="D27" s="121" t="inlineStr">
        <is>
          <t>Option A T0 (Eq. 9F.54/57) and 9F.4.5</t>
        </is>
      </c>
      <c r="E27" s="122" t="inlineStr">
        <is>
          <t>INPUT</t>
        </is>
      </c>
      <c r="G27" s="142" t="n">
        <v>24</v>
      </c>
      <c r="H27" s="143" t="n"/>
    </row>
    <row r="28" ht="15" customHeight="1" s="92">
      <c r="A28" s="111" t="inlineStr">
        <is>
          <t>Carbon steel sulfur class</t>
        </is>
      </c>
      <c r="B28" s="123" t="inlineStr">
        <is>
          <t>LOW</t>
        </is>
      </c>
      <c r="C28" s="120" t="inlineStr">
        <is>
          <t>-</t>
        </is>
      </c>
      <c r="D28" s="121" t="inlineStr">
        <is>
          <t>LOW &lt;= 0.01 % S</t>
        </is>
      </c>
      <c r="E28" s="122" t="inlineStr">
        <is>
          <t>INPUT</t>
        </is>
      </c>
      <c r="G28" s="142" t="n">
        <v>25</v>
      </c>
      <c r="H28" s="143" t="n"/>
    </row>
    <row r="29" ht="15" customHeight="1" s="92">
      <c r="A29" s="111" t="inlineStr">
        <is>
          <t>Option D test temperature</t>
        </is>
      </c>
      <c r="B29" s="119">
        <f>IF(UNIT_SYSTEM="SI",0,32)</f>
        <v/>
      </c>
      <c r="C29" s="120">
        <f>IF(UNIT_SYSTEM="SI","°C","°F")</f>
        <v/>
      </c>
      <c r="D29" s="121" t="n"/>
      <c r="E29" s="122" t="inlineStr">
        <is>
          <t>INPUT</t>
        </is>
      </c>
      <c r="G29" s="142" t="n">
        <v>26</v>
      </c>
      <c r="H29" s="143" t="n"/>
    </row>
    <row r="30" ht="15" customHeight="1" s="92">
      <c r="A30" s="111" t="inlineStr">
        <is>
          <t>Option D test Jcrit</t>
        </is>
      </c>
      <c r="B30" s="119">
        <f>IF(UNIT_SYSTEM="SI",50,285.507415198588)</f>
        <v/>
      </c>
      <c r="C30" s="120">
        <f>IF(UNIT_SYSTEM="SI","kJ/m²","in-lb/in²")</f>
        <v/>
      </c>
      <c r="D30" s="121" t="n"/>
      <c r="E30" s="122" t="inlineStr">
        <is>
          <t>INPUT</t>
        </is>
      </c>
      <c r="G30" s="142" t="n">
        <v>27</v>
      </c>
      <c r="H30" s="143" t="n"/>
    </row>
    <row r="31" ht="15" customHeight="1" s="92">
      <c r="A31" s="111" t="inlineStr">
        <is>
          <t>Option D E at test temperature</t>
        </is>
      </c>
      <c r="B31" s="137">
        <f>IF(UNIT_SYSTEM="SI",200000,29007.5475460418)</f>
        <v/>
      </c>
      <c r="C31" s="120">
        <f>IF(UNIT_SYSTEM="SI","MPa","ksi")</f>
        <v/>
      </c>
      <c r="D31" s="121" t="n"/>
      <c r="E31" s="122" t="inlineStr">
        <is>
          <t>INPUT</t>
        </is>
      </c>
      <c r="G31" s="142" t="n">
        <v>28</v>
      </c>
      <c r="H31" s="143" t="n"/>
    </row>
    <row r="32" ht="15" customHeight="1" s="92">
      <c r="A32" s="111" t="inlineStr">
        <is>
          <t>Option D Poisson's ratio</t>
        </is>
      </c>
      <c r="B32" s="119" t="n">
        <v>0.3</v>
      </c>
      <c r="C32" s="120" t="inlineStr">
        <is>
          <t>-</t>
        </is>
      </c>
      <c r="D32" s="121" t="n"/>
      <c r="E32" s="122" t="inlineStr">
        <is>
          <t>INPUT</t>
        </is>
      </c>
      <c r="G32" s="142" t="n">
        <v>29</v>
      </c>
      <c r="H32" s="143" t="n"/>
    </row>
    <row r="33" ht="15" customHeight="1" s="92">
      <c r="A33" s="111" t="inlineStr">
        <is>
          <t>Option D specimen thickness B</t>
        </is>
      </c>
      <c r="B33" s="119">
        <f>IF(UNIT_SYSTEM="SI",25,0.984251968503937)</f>
        <v/>
      </c>
      <c r="C33" s="120">
        <f>IF(UNIT_SYSTEM="SI","mm","in")</f>
        <v/>
      </c>
      <c r="D33" s="121" t="n"/>
      <c r="E33" s="122" t="inlineStr">
        <is>
          <t>INPUT</t>
        </is>
      </c>
      <c r="G33" s="142" t="n">
        <v>30</v>
      </c>
      <c r="H33" s="143" t="n"/>
    </row>
    <row r="34" ht="15" customHeight="1" s="92">
      <c r="A34" s="111" t="inlineStr">
        <is>
          <t>Master Curve probability Pf</t>
        </is>
      </c>
      <c r="B34" s="119" t="n">
        <v>0.05</v>
      </c>
      <c r="C34" s="120" t="inlineStr">
        <is>
          <t>-</t>
        </is>
      </c>
      <c r="D34" s="121" t="inlineStr">
        <is>
          <t>0.05 = recommended 5 % lower bound</t>
        </is>
      </c>
      <c r="E34" s="122" t="inlineStr">
        <is>
          <t>INPUT</t>
        </is>
      </c>
    </row>
    <row r="35" ht="15" customHeight="1" s="92">
      <c r="A35" s="111" t="inlineStr">
        <is>
          <t>Crack-front length L mode</t>
        </is>
      </c>
      <c r="B35" s="123" t="inlineStr">
        <is>
          <t>AUTO</t>
        </is>
      </c>
      <c r="C35" s="120" t="inlineStr">
        <is>
          <t>-</t>
        </is>
      </c>
      <c r="D35" s="121" t="inlineStr">
        <is>
          <t>AUTO: 2t (through-wall crack) or 100 mm / 4 in (infinite surface crack, Eq. 9H.15)</t>
        </is>
      </c>
      <c r="E35" s="122" t="inlineStr">
        <is>
          <t>INPUT</t>
        </is>
      </c>
    </row>
    <row r="36" ht="15" customHeight="1" s="92">
      <c r="A36" s="111" t="inlineStr">
        <is>
          <t>Crack-front length L (USER)</t>
        </is>
      </c>
      <c r="B36" s="119">
        <f>IF(UNIT_SYSTEM="SI",40,1.5748031496063)</f>
        <v/>
      </c>
      <c r="C36" s="120">
        <f>IF(UNIT_SYSTEM="SI","mm","in")</f>
        <v/>
      </c>
      <c r="D36" s="121" t="n"/>
      <c r="E36" s="122" t="inlineStr">
        <is>
          <t>INPUT</t>
        </is>
      </c>
    </row>
    <row r="37" ht="15" customHeight="1" s="92">
      <c r="A37" s="111" t="inlineStr">
        <is>
          <t>Limit Master Curve by 9F.4.4 upper shelf</t>
        </is>
      </c>
      <c r="B37" s="123" t="inlineStr">
        <is>
          <t>NONE</t>
        </is>
      </c>
      <c r="C37" s="120" t="inlineStr">
        <is>
          <t>-</t>
        </is>
      </c>
      <c r="D37" s="121" t="n"/>
      <c r="E37" s="122" t="inlineStr">
        <is>
          <t>INPUT</t>
        </is>
      </c>
    </row>
    <row r="38" ht="15" customHeight="1" s="92">
      <c r="A38" s="111" t="inlineStr">
        <is>
          <t>Hydrogen T0 shift (9F.4.6.2)</t>
        </is>
      </c>
      <c r="B38" s="123" t="inlineStr">
        <is>
          <t>NONE</t>
        </is>
      </c>
      <c r="C38" s="120" t="inlineStr">
        <is>
          <t>-</t>
        </is>
      </c>
      <c r="D38" s="121" t="inlineStr">
        <is>
          <t>H &gt; 1 ppm: 2.25Cr-1Mo +50 C; CS/low-Cr use 9F45_ARREST</t>
        </is>
      </c>
      <c r="E38" s="122" t="inlineStr">
        <is>
          <t>INPUT</t>
        </is>
      </c>
    </row>
    <row r="39" ht="15" customHeight="1" s="92">
      <c r="A39" s="111" t="inlineStr">
        <is>
          <t>User hydrogen T0 shift</t>
        </is>
      </c>
      <c r="B39" s="119" t="n">
        <v>0</v>
      </c>
      <c r="C39" s="120">
        <f>IF(UNIT_SYSTEM="SI","°C","°F")</f>
        <v/>
      </c>
      <c r="D39" s="121" t="n"/>
      <c r="E39" s="122" t="inlineStr">
        <is>
          <t>INPUT</t>
        </is>
      </c>
    </row>
    <row r="40" ht="19.5" customHeight="1" s="92">
      <c r="A40" s="140" t="inlineStr">
        <is>
          <t>9F44_UPPER_SHELF  (9F.4.4)</t>
        </is>
      </c>
      <c r="B40" s="141" t="n"/>
      <c r="C40" s="141" t="n"/>
      <c r="D40" s="141" t="n"/>
      <c r="E40" s="141" t="n"/>
    </row>
    <row r="41" ht="15" customHeight="1" s="92">
      <c r="A41" s="111" t="inlineStr">
        <is>
          <t>Upper-shelf option (9F.4.4)</t>
        </is>
      </c>
      <c r="B41" s="123" t="inlineStr">
        <is>
          <t>B</t>
        </is>
      </c>
      <c r="C41" s="120" t="inlineStr">
        <is>
          <t>-</t>
        </is>
      </c>
      <c r="D41" s="121" t="n"/>
      <c r="E41" s="122" t="inlineStr">
        <is>
          <t>INPUT</t>
        </is>
      </c>
    </row>
    <row r="42" ht="15" customHeight="1" s="92">
      <c r="A42" s="111" t="inlineStr">
        <is>
          <t>Upper-shelf CVN (Option A)</t>
        </is>
      </c>
      <c r="B42" s="137">
        <f>IF(UNIT_SYSTEM="SI",100,73.7562149277266)</f>
        <v/>
      </c>
      <c r="C42" s="120">
        <f>IF(UNIT_SYSTEM="SI","J","ft-lb")</f>
        <v/>
      </c>
      <c r="D42" s="121" t="n"/>
      <c r="E42" s="122" t="inlineStr">
        <is>
          <t>INPUT</t>
        </is>
      </c>
    </row>
    <row r="43" ht="15" customHeight="1" s="92">
      <c r="A43" s="111" t="inlineStr">
        <is>
          <t>Upper-shelf basis (Option A)</t>
        </is>
      </c>
      <c r="B43" s="123" t="inlineStr">
        <is>
          <t>LOWER</t>
        </is>
      </c>
      <c r="C43" s="120" t="inlineStr">
        <is>
          <t>-</t>
        </is>
      </c>
      <c r="D43" s="121" t="n"/>
      <c r="E43" s="122" t="inlineStr">
        <is>
          <t>INPUT</t>
        </is>
      </c>
    </row>
    <row r="44" ht="15" customHeight="1" s="92">
      <c r="A44" s="111" t="inlineStr">
        <is>
          <t>Upper-shelf fixed Kmat (Option B)</t>
        </is>
      </c>
      <c r="B44" s="137">
        <f>IF(UNIT_SYSTEM="SI",110,100)</f>
        <v/>
      </c>
      <c r="C44" s="120">
        <f>IF(UNIT_SYSTEM="SI","MPa√m","ksi√in")</f>
        <v/>
      </c>
      <c r="D44" s="121" t="inlineStr">
        <is>
          <t>SI: 110 or 220 MPa√m.  FPS: 100 or 200 ksi√in</t>
        </is>
      </c>
      <c r="E44" s="122" t="inlineStr">
        <is>
          <t>INPUT</t>
        </is>
      </c>
    </row>
    <row r="45" ht="19.5" customHeight="1" s="92">
      <c r="A45" s="140" t="inlineStr">
        <is>
          <t>9F45_DYNAMIC / 9F45_ARREST  (9F.4.5)</t>
        </is>
      </c>
      <c r="B45" s="141" t="n"/>
      <c r="C45" s="141" t="n"/>
      <c r="D45" s="141" t="n"/>
      <c r="E45" s="141" t="n"/>
    </row>
    <row r="46" ht="15" customHeight="1" s="92">
      <c r="A46" s="111" t="inlineStr">
        <is>
          <t>Dynamic loading rate dK/dt (9F.4.5.2)</t>
        </is>
      </c>
      <c r="B46" s="137">
        <f>IF(UNIT_SYSTEM="SI",100000,91004.7705029255)</f>
        <v/>
      </c>
      <c r="C46" s="120">
        <f>IF(UNIT_SYSTEM="SI","MPa√m/s","ksi√in/s")</f>
        <v/>
      </c>
      <c r="D46" s="121" t="n"/>
      <c r="E46" s="122" t="inlineStr">
        <is>
          <t>INPUT</t>
        </is>
      </c>
    </row>
    <row r="47" ht="15" customHeight="1" s="92">
      <c r="A47" s="111" t="inlineStr">
        <is>
          <t>Quasi-static loading rate</t>
        </is>
      </c>
      <c r="B47" s="119">
        <f>IF(UNIT_SYSTEM="SI",1,0.910047705029255)</f>
        <v/>
      </c>
      <c r="C47" s="120">
        <f>IF(UNIT_SYSTEM="SI","MPa√m/s","ksi√in/s")</f>
        <v/>
      </c>
      <c r="D47" s="121" t="inlineStr">
        <is>
          <t>1 MPa√m/s (0.91 ksi√in/s)</t>
        </is>
      </c>
      <c r="E47" s="122" t="inlineStr">
        <is>
          <t>INPUT</t>
        </is>
      </c>
    </row>
    <row r="48" ht="15" customHeight="1" s="92">
      <c r="A48" s="111" t="inlineStr">
        <is>
          <t>Nickel content (9F.4.5.3)</t>
        </is>
      </c>
      <c r="B48" s="119" t="n">
        <v>0</v>
      </c>
      <c r="C48" s="120" t="inlineStr">
        <is>
          <t>wt %</t>
        </is>
      </c>
      <c r="D48" s="121" t="inlineStr">
        <is>
          <t>wt %; &gt; 1 % uses Eq. 9F.100</t>
        </is>
      </c>
      <c r="E48" s="122" t="inlineStr">
        <is>
          <t>INPUT</t>
        </is>
      </c>
    </row>
    <row r="49" ht="19.5" customHeight="1" s="92">
      <c r="A49" s="140" t="inlineStr">
        <is>
          <t>9F47_CRMO_AGING  (9F.4.7)  - blank chemistry uses conservative defaults</t>
        </is>
      </c>
      <c r="B49" s="141" t="n"/>
      <c r="C49" s="141" t="n"/>
      <c r="D49" s="141" t="n"/>
      <c r="E49" s="141" t="n"/>
    </row>
    <row r="50" ht="15" customHeight="1" s="92">
      <c r="A50" s="111" t="inlineStr">
        <is>
          <t>Cr-Mo aging route (9F.4.7)</t>
        </is>
      </c>
      <c r="B50" s="123" t="inlineStr">
        <is>
          <t>CR125_XBAR</t>
        </is>
      </c>
      <c r="C50" s="120" t="inlineStr">
        <is>
          <t>-</t>
        </is>
      </c>
      <c r="D50" s="121" t="n"/>
      <c r="E50" s="122" t="inlineStr">
        <is>
          <t>INPUT</t>
        </is>
      </c>
    </row>
    <row r="51" ht="15" customHeight="1" s="92">
      <c r="A51" s="111" t="inlineStr">
        <is>
          <t>2.25Cr-1Mo vintage (J unknown)</t>
        </is>
      </c>
      <c r="B51" s="123" t="inlineStr">
        <is>
          <t>PRE_1975</t>
        </is>
      </c>
      <c r="C51" s="120" t="inlineStr">
        <is>
          <t>-</t>
        </is>
      </c>
      <c r="D51" s="121" t="n"/>
      <c r="E51" s="122" t="inlineStr">
        <is>
          <t>INPUT</t>
        </is>
      </c>
    </row>
    <row r="52" ht="15" customHeight="1" s="92">
      <c r="A52" s="111" t="inlineStr">
        <is>
          <t>Chemistry %P</t>
        </is>
      </c>
      <c r="B52" s="123" t="n"/>
      <c r="C52" s="120" t="inlineStr">
        <is>
          <t>wt %</t>
        </is>
      </c>
      <c r="D52" s="121" t="n"/>
      <c r="E52" s="122" t="inlineStr">
        <is>
          <t>INPUT</t>
        </is>
      </c>
    </row>
    <row r="53" ht="15" customHeight="1" s="92">
      <c r="A53" s="111" t="inlineStr">
        <is>
          <t>Chemistry %Sb</t>
        </is>
      </c>
      <c r="B53" s="123" t="n"/>
      <c r="C53" s="120" t="inlineStr">
        <is>
          <t>wt %</t>
        </is>
      </c>
      <c r="D53" s="121" t="n"/>
      <c r="E53" s="122" t="inlineStr">
        <is>
          <t>INPUT</t>
        </is>
      </c>
    </row>
    <row r="54" ht="15" customHeight="1" s="92">
      <c r="A54" s="111" t="inlineStr">
        <is>
          <t>Chemistry %Sn</t>
        </is>
      </c>
      <c r="B54" s="123" t="n"/>
      <c r="C54" s="120" t="inlineStr">
        <is>
          <t>wt %</t>
        </is>
      </c>
      <c r="D54" s="121" t="n"/>
      <c r="E54" s="122" t="inlineStr">
        <is>
          <t>INPUT</t>
        </is>
      </c>
    </row>
    <row r="55" ht="15" customHeight="1" s="92">
      <c r="A55" s="111" t="inlineStr">
        <is>
          <t>Chemistry %As</t>
        </is>
      </c>
      <c r="B55" s="123" t="n"/>
      <c r="C55" s="120" t="inlineStr">
        <is>
          <t>wt %</t>
        </is>
      </c>
      <c r="D55" s="121" t="n"/>
      <c r="E55" s="122" t="inlineStr">
        <is>
          <t>INPUT</t>
        </is>
      </c>
    </row>
    <row r="56" ht="15" customHeight="1" s="92">
      <c r="A56" s="111" t="inlineStr">
        <is>
          <t>Chemistry %Mn</t>
        </is>
      </c>
      <c r="B56" s="123" t="n"/>
      <c r="C56" s="120" t="inlineStr">
        <is>
          <t>wt %</t>
        </is>
      </c>
      <c r="D56" s="121" t="n"/>
      <c r="E56" s="122" t="inlineStr">
        <is>
          <t>INPUT</t>
        </is>
      </c>
    </row>
    <row r="57" ht="15" customHeight="1" s="92">
      <c r="A57" s="111" t="inlineStr">
        <is>
          <t>Chemistry %Si</t>
        </is>
      </c>
      <c r="B57" s="123" t="n"/>
      <c r="C57" s="120" t="inlineStr">
        <is>
          <t>wt %</t>
        </is>
      </c>
      <c r="D57" s="121" t="n"/>
      <c r="E57" s="122" t="inlineStr">
        <is>
          <t>INPUT</t>
        </is>
      </c>
    </row>
  </sheetData>
  <mergeCells count="11">
    <mergeCell ref="A4:E4"/>
    <mergeCell ref="A17:E17"/>
    <mergeCell ref="A24:E24"/>
    <mergeCell ref="A2:E2"/>
    <mergeCell ref="A10:E10"/>
    <mergeCell ref="A49:E49"/>
    <mergeCell ref="A8:E8"/>
    <mergeCell ref="A1:E1"/>
    <mergeCell ref="A45:E45"/>
    <mergeCell ref="A14:E14"/>
    <mergeCell ref="A40:E40"/>
  </mergeCells>
  <conditionalFormatting sqref="A5:E200">
    <cfRule type="expression" rank="0" priority="2" equalAverage="0" aboveAverage="0" dxfId="2" text="" percent="0" bottom="0">
      <formula>ISNUMBER(SEARCH(in_method,$A5))</formula>
    </cfRule>
  </conditionalFormatting>
  <dataValidations count="18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L_TOUGHNESS_METHOD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L_SS_CONDITION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L_LOWER_MEAN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L_TREF_MODE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L_CURVE_MODE</formula1>
      <formula2>0</formula2>
    </dataValidation>
    <dataValidation sqref="B21" showDropDown="0" showInputMessage="1" showErrorMessage="1" allowBlank="1" errorTitle="ATLAS input" error="Select a value from the drop-down list" promptTitle="ATLAS" prompt="Select from the list" type="list" errorStyle="stop" operator="between">
      <formula1>L_XI_CURVE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L_T0_MODE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L_SULFUR</formula1>
      <formula2>0</formula2>
    </dataValidation>
    <dataValidation sqref="B34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L_PF</formula1>
      <formula2>0</formula2>
    </dataValidation>
    <dataValidation sqref="B35" showDropDown="0" showInputMessage="1" showErrorMessage="1" allowBlank="1" errorTitle="ATLAS input" error="Select a value from the drop-down list" promptTitle="ATLAS" prompt="Select from the list" type="list" errorStyle="stop" operator="between">
      <formula1>L_L_MODE</formula1>
      <formula2>0</formula2>
    </dataValidation>
    <dataValidation sqref="B37" showDropDown="0" showInputMessage="1" showErrorMessage="1" allowBlank="1" errorTitle="ATLAS input" error="Select a value from the drop-down list" promptTitle="ATLAS" prompt="Select from the list" type="list" errorStyle="stop" operator="between">
      <formula1>L_US_LIMIT</formula1>
      <formula2>0</formula2>
    </dataValidation>
    <dataValidation sqref="B38" showDropDown="0" showInputMessage="1" showErrorMessage="1" allowBlank="1" errorTitle="ATLAS input" error="Select a value from the drop-down list" promptTitle="ATLAS" prompt="Select from the list" type="list" errorStyle="stop" operator="between">
      <formula1>L_H2_SHIFT</formula1>
      <formula2>0</formula2>
    </dataValidation>
    <dataValidation sqref="B41" showDropDown="0" showInputMessage="1" showErrorMessage="1" allowBlank="1" errorTitle="ATLAS input" error="Select a value from the drop-down list" promptTitle="ATLAS" prompt="Select from the list" type="list" errorStyle="stop" operator="between">
      <formula1>L_US_OPTION</formula1>
      <formula2>0</formula2>
    </dataValidation>
    <dataValidation sqref="B43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  <dataValidation sqref="B44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50" showDropDown="0" showInputMessage="1" showErrorMessage="1" allowBlank="1" errorTitle="ATLAS input" error="Select a value from the drop-down list" promptTitle="ATLAS" prompt="Select from the list" type="list" errorStyle="stop" operator="between">
      <formula1>L_CRMO_ROUTE</formula1>
      <formula2>0</formula2>
    </dataValidation>
    <dataValidation sqref="B51" showDropDown="0" showInputMessage="1" showErrorMessage="1" allowBlank="1" errorTitle="ATLAS input" error="Select a value from the drop-down list" promptTitle="ATLAS" prompt="Select from the list" type="list" errorStyle="stop" operator="between">
      <formula1>L_CRMO_VINTAGE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45">
        <f>"CRACK GROWTH  -  KPSCL1 / KPSCL2 / RPSCL  ("&amp;UNIT_SYSTEM&amp;" UNITS)"</f>
        <v/>
      </c>
    </row>
    <row r="2" ht="15" customHeight="1" s="92">
      <c r="A2" s="115" t="inlineStr">
        <is>
          <t>Paragraph 9.5.1 and Annex 9F.5. Database: DB_Growth (Tables 9F.4-9F.9 and 9F.5.3.9 equations)</t>
        </is>
      </c>
    </row>
    <row r="3" ht="15" customHeight="1" s="92">
      <c r="A3" s="146" t="inlineStr">
        <is>
          <t>Parameter</t>
        </is>
      </c>
      <c r="B3" s="146" t="inlineStr">
        <is>
          <t>Value</t>
        </is>
      </c>
      <c r="C3" s="146" t="inlineStr">
        <is>
          <t>Unit</t>
        </is>
      </c>
      <c r="D3" s="146" t="inlineStr">
        <is>
          <t>API 579 reference / note</t>
        </is>
      </c>
      <c r="E3" s="146" t="inlineStr">
        <is>
          <t>Status</t>
        </is>
      </c>
    </row>
    <row r="4" ht="19.5" customHeight="1" s="92">
      <c r="A4" s="147" t="inlineStr">
        <is>
          <t>MODEL SELECTION</t>
        </is>
      </c>
      <c r="B4" s="148" t="n"/>
      <c r="C4" s="148" t="n"/>
      <c r="D4" s="148" t="n"/>
      <c r="E4" s="148" t="n"/>
    </row>
    <row r="5" ht="15" customHeight="1" s="92">
      <c r="A5" s="111" t="inlineStr">
        <is>
          <t>Crack growth model</t>
        </is>
      </c>
      <c r="B5" s="123" t="inlineStr">
        <is>
          <t>FROM_MATERIAL_DB</t>
        </is>
      </c>
      <c r="C5" s="120" t="inlineStr">
        <is>
          <t>-</t>
        </is>
      </c>
      <c r="D5" s="121" t="n"/>
      <c r="E5" s="122" t="inlineStr">
        <is>
          <t>INPUT</t>
        </is>
      </c>
    </row>
    <row r="6" ht="15" customHeight="1" s="92">
      <c r="A6" s="124" t="inlineStr">
        <is>
          <t>Model used</t>
        </is>
      </c>
      <c r="B6" s="127">
        <f>IF(in_growth_model="FROM_MATERIAL_DB",db_default_growth_model,in_growth_model)</f>
        <v/>
      </c>
      <c r="C6" s="120" t="n"/>
      <c r="D6" s="121" t="n"/>
      <c r="E6" s="126" t="inlineStr">
        <is>
          <t>CALC</t>
        </is>
      </c>
    </row>
    <row r="7" ht="15" customHeight="1" s="92">
      <c r="A7" s="124" t="inlineStr">
        <is>
          <t>API table</t>
        </is>
      </c>
      <c r="B7" s="127">
        <f>IFERROR(IF(INDEX(DB_Growth!$C:$C,MATCH(calc_gm,DB_Growth!$A:$A,0))="","-",INDEX(DB_Growth!$C:$C,MATCH(calc_gm,DB_Growth!$A:$A,0))),"-")</f>
        <v/>
      </c>
      <c r="C7" s="120" t="n"/>
      <c r="D7" s="121" t="n"/>
      <c r="E7" s="126" t="inlineStr">
        <is>
          <t>CALC</t>
        </is>
      </c>
    </row>
    <row r="8" ht="15" customHeight="1" s="92">
      <c r="A8" s="124" t="inlineStr">
        <is>
          <t>Equation</t>
        </is>
      </c>
      <c r="B8" s="127">
        <f>IFERROR(IF(INDEX(DB_Growth!$D:$D,MATCH(calc_gm,DB_Growth!$A:$A,0))="","-",INDEX(DB_Growth!$D:$D,MATCH(calc_gm,DB_Growth!$A:$A,0))),"-")</f>
        <v/>
      </c>
      <c r="C8" s="120" t="n"/>
      <c r="D8" s="121" t="n"/>
      <c r="E8" s="126" t="inlineStr">
        <is>
          <t>CALC</t>
        </is>
      </c>
    </row>
    <row r="9" ht="15" customHeight="1" s="92">
      <c r="A9" s="124" t="inlineStr">
        <is>
          <t>Description</t>
        </is>
      </c>
      <c r="B9" s="127">
        <f>IFERROR(IF(INDEX(DB_Growth!$E:$E,MATCH(calc_gm,DB_Growth!$A:$A,0))="","-",INDEX(DB_Growth!$E:$E,MATCH(calc_gm,DB_Growth!$A:$A,0))),"-")</f>
        <v/>
      </c>
      <c r="C9" s="120" t="n"/>
      <c r="D9" s="121" t="n"/>
      <c r="E9" s="126" t="inlineStr">
        <is>
          <t>CALC</t>
        </is>
      </c>
    </row>
    <row r="10" ht="15" customHeight="1" s="92">
      <c r="A10" s="124" t="inlineStr">
        <is>
          <t>Applicability</t>
        </is>
      </c>
      <c r="B10" s="127">
        <f>IFERROR(IF(INDEX(DB_Growth!$F:$F,MATCH(calc_gm,DB_Growth!$A:$A,0))="","-",INDEX(DB_Growth!$F:$F,MATCH(calc_gm,DB_Growth!$A:$A,0))),"-")</f>
        <v/>
      </c>
      <c r="C10" s="120" t="n"/>
      <c r="D10" s="121" t="n"/>
      <c r="E10" s="126" t="inlineStr">
        <is>
          <t>CALC</t>
        </is>
      </c>
    </row>
    <row r="11" ht="15" customHeight="1" s="92">
      <c r="A11" s="124" t="inlineStr">
        <is>
          <t>C1 (first / R&lt;0.5 row)</t>
        </is>
      </c>
      <c r="B11" s="149">
        <f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/>
      </c>
      <c r="C11" s="120">
        <f>IF(UNIT_SYSTEM="SI","mm/cycle","in/cycle")</f>
        <v/>
      </c>
      <c r="D11" s="121" t="inlineStr">
        <is>
          <t>For 9F.7 models a second R&gt;=0.5 parameter row exists (DB_Growth)</t>
        </is>
      </c>
      <c r="E11" s="126" t="inlineStr">
        <is>
          <t>CALC</t>
        </is>
      </c>
    </row>
    <row r="12" ht="15" customHeight="1" s="92">
      <c r="A12" s="124" t="inlineStr">
        <is>
          <t>n1</t>
        </is>
      </c>
      <c r="B12" s="150">
        <f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/>
      </c>
      <c r="C12" s="120" t="inlineStr">
        <is>
          <t>-</t>
        </is>
      </c>
      <c r="D12" s="121" t="n"/>
      <c r="E12" s="126" t="inlineStr">
        <is>
          <t>CALC</t>
        </is>
      </c>
    </row>
    <row r="13" ht="15" customHeight="1" s="92">
      <c r="A13" s="124" t="inlineStr">
        <is>
          <t>C2 (bilinear)</t>
        </is>
      </c>
      <c r="B13" s="149">
        <f>IFERROR(IF(INDEX(DB_Growth!$I:$I,MATCH(calc_gm,DB_Growth!$A:$A,0))="","-",INDEX(DB_Growth!$I:$I,MATCH(calc_gm,DB_Growth!$A:$A,0))),"-")</f>
        <v/>
      </c>
      <c r="C13" s="120">
        <f>IF(UNIT_SYSTEM="SI","mm/cycle","in/cycle")</f>
        <v/>
      </c>
      <c r="D13" s="121" t="n"/>
      <c r="E13" s="126" t="inlineStr">
        <is>
          <t>CALC</t>
        </is>
      </c>
    </row>
    <row r="14" ht="15" customHeight="1" s="92">
      <c r="A14" s="124" t="inlineStr">
        <is>
          <t>n2</t>
        </is>
      </c>
      <c r="B14" s="150">
        <f>IFERROR(IF(INDEX(DB_Growth!$J:$J,MATCH(calc_gm,DB_Growth!$A:$A,0))="","-",INDEX(DB_Growth!$J:$J,MATCH(calc_gm,DB_Growth!$A:$A,0))),"-")</f>
        <v/>
      </c>
      <c r="C14" s="120" t="inlineStr">
        <is>
          <t>-</t>
        </is>
      </c>
      <c r="D14" s="121" t="n"/>
      <c r="E14" s="126" t="inlineStr">
        <is>
          <t>CALC</t>
        </is>
      </c>
    </row>
    <row r="15" ht="15" customHeight="1" s="92">
      <c r="A15" s="124" t="inlineStr">
        <is>
          <t>dK transition</t>
        </is>
      </c>
      <c r="B15" s="136">
        <f>IFERROR(IF(INDEX(DB_Growth!$K:$K,MATCH(calc_gm,DB_Growth!$A:$A,0))="","-",INDEX(DB_Growth!$K:$K,MATCH(calc_gm,DB_Growth!$A:$A,0))),"-")</f>
        <v/>
      </c>
      <c r="C15" s="120">
        <f>IF(UNIT_SYSTEM="SI","MPa√m","ksi√in")</f>
        <v/>
      </c>
      <c r="D15" s="121" t="n"/>
      <c r="E15" s="126" t="inlineStr">
        <is>
          <t>CALC</t>
        </is>
      </c>
    </row>
    <row r="16" ht="15" customHeight="1" s="92">
      <c r="A16" s="124" t="inlineStr">
        <is>
          <t>Threshold dKth</t>
        </is>
      </c>
      <c r="B16" s="127">
        <f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/>
      </c>
      <c r="C16" s="120">
        <f>IF(UNIT_SYSTEM="SI","MPa√m","ksi√in")</f>
        <v/>
      </c>
      <c r="D16" s="121" t="n"/>
      <c r="E16" s="126" t="inlineStr">
        <is>
          <t>CALC</t>
        </is>
      </c>
    </row>
    <row r="17" ht="19.5" customHeight="1" s="92">
      <c r="A17" s="147" t="inlineStr">
        <is>
          <t>OPTIONS</t>
        </is>
      </c>
      <c r="B17" s="148" t="n"/>
      <c r="C17" s="148" t="n"/>
      <c r="D17" s="148" t="n"/>
      <c r="E17" s="148" t="n"/>
    </row>
    <row r="18" ht="15" customHeight="1" s="92">
      <c r="A18" s="111" t="inlineStr">
        <is>
          <t>Stress ratio R basis</t>
        </is>
      </c>
      <c r="B18" s="123" t="inlineStr">
        <is>
          <t>INCLUDE_RESIDUAL</t>
        </is>
      </c>
      <c r="C18" s="120" t="inlineStr">
        <is>
          <t>-</t>
        </is>
      </c>
      <c r="D18" s="121" t="inlineStr">
        <is>
          <t>FORCE_R_GE_0_5 = 9F.5.3.8 recommendation for as-welded joints</t>
        </is>
      </c>
      <c r="E18" s="122" t="inlineStr">
        <is>
          <t>INPUT</t>
        </is>
      </c>
    </row>
    <row r="19" ht="15" customHeight="1" s="92">
      <c r="A19" s="111" t="inlineStr">
        <is>
          <t>Welded-joint equation (Table 9F.5)</t>
        </is>
      </c>
      <c r="B19" s="123" t="inlineStr">
        <is>
          <t>9F140</t>
        </is>
      </c>
      <c r="C19" s="120" t="inlineStr">
        <is>
          <t>-</t>
        </is>
      </c>
      <c r="D19" s="121" t="inlineStr">
        <is>
          <t>Table 9F.5 comment: Eq. 9F.140</t>
        </is>
      </c>
      <c r="E19" s="122" t="inlineStr">
        <is>
          <t>INPUT</t>
        </is>
      </c>
    </row>
    <row r="20" ht="15" customHeight="1" s="92">
      <c r="A20" s="111" t="inlineStr">
        <is>
          <t>Temperature correction R_E (9F.139)</t>
        </is>
      </c>
      <c r="B20" s="123" t="inlineStr">
        <is>
          <t>AUTO</t>
        </is>
      </c>
      <c r="C20" s="120" t="inlineStr">
        <is>
          <t>-</t>
        </is>
      </c>
      <c r="D20" s="121" t="inlineStr">
        <is>
          <t>AUTO = only where the table specifies 9F.137</t>
        </is>
      </c>
      <c r="E20" s="122" t="inlineStr">
        <is>
          <t>INPUT</t>
        </is>
      </c>
    </row>
    <row r="21" ht="15" customHeight="1" s="92">
      <c r="A21" s="111" t="inlineStr">
        <is>
          <t>E at ambient, Ey</t>
        </is>
      </c>
      <c r="B21" s="137">
        <f>IF(UNIT_SYSTEM="SI",200000,29007.5475460418)</f>
        <v/>
      </c>
      <c r="C21" s="120">
        <f>IF(UNIT_SYSTEM="SI","MPa","ksi")</f>
        <v/>
      </c>
      <c r="D21" s="121" t="n"/>
      <c r="E21" s="122" t="inlineStr">
        <is>
          <t>INPUT</t>
        </is>
      </c>
    </row>
    <row r="22" ht="15" customHeight="1" s="92">
      <c r="A22" s="111" t="inlineStr">
        <is>
          <t>E at temperature, EyT</t>
        </is>
      </c>
      <c r="B22" s="137">
        <f>IF(UNIT_SYSTEM="SI",200000,29007.5475460418)</f>
        <v/>
      </c>
      <c r="C22" s="120">
        <f>IF(UNIT_SYSTEM="SI","MPa","ksi")</f>
        <v/>
      </c>
      <c r="D22" s="121" t="n"/>
      <c r="E22" s="122" t="inlineStr">
        <is>
          <t>INPUT</t>
        </is>
      </c>
    </row>
    <row r="23" ht="15" customHeight="1" s="92">
      <c r="A23" s="111" t="inlineStr">
        <is>
          <t>H2S concentration (sour crude)</t>
        </is>
      </c>
      <c r="B23" s="119" t="n">
        <v>0</v>
      </c>
      <c r="C23" s="120" t="inlineStr">
        <is>
          <t>ppm</t>
        </is>
      </c>
      <c r="D23" s="121" t="inlineStr">
        <is>
          <t>ppm, Eqs. 9F.160/9F.162</t>
        </is>
      </c>
      <c r="E23" s="122" t="inlineStr">
        <is>
          <t>INPUT</t>
        </is>
      </c>
    </row>
    <row r="24" ht="15" customHeight="1" s="92">
      <c r="A24" s="111" t="inlineStr">
        <is>
          <t>Threshold override dKth (blank = table)</t>
        </is>
      </c>
      <c r="B24" s="123" t="n"/>
      <c r="C24" s="120">
        <f>IF(UNIT_SYSTEM="SI","MPa√m","ksi√in")</f>
        <v/>
      </c>
      <c r="D24" s="121" t="n"/>
      <c r="E24" s="122" t="inlineStr">
        <is>
          <t>INPUT</t>
        </is>
      </c>
    </row>
    <row r="25" ht="15" customHeight="1" s="92">
      <c r="A25" s="124" t="inlineStr">
        <is>
          <t>R_E = max(Ey/EyT, 1)</t>
        </is>
      </c>
      <c r="B25" s="125">
        <f>MAX(in_E_ambient/in_E_temp,1)</f>
        <v/>
      </c>
      <c r="C25" s="120" t="inlineStr">
        <is>
          <t>-</t>
        </is>
      </c>
      <c r="D25" s="121" t="inlineStr">
        <is>
          <t>Eq. 9F.139</t>
        </is>
      </c>
      <c r="E25" s="126" t="inlineStr">
        <is>
          <t>CALC</t>
        </is>
      </c>
    </row>
    <row r="26" ht="19.5" customHeight="1" s="92">
      <c r="A26" s="147" t="inlineStr">
        <is>
          <t>PROJECT_USER_PARIS  (requires 2_Material data status = APPROVED)</t>
        </is>
      </c>
      <c r="B26" s="148" t="n"/>
      <c r="C26" s="148" t="n"/>
      <c r="D26" s="148" t="n"/>
      <c r="E26" s="148" t="n"/>
    </row>
    <row r="27" ht="15" customHeight="1" s="92">
      <c r="A27" s="111" t="inlineStr">
        <is>
          <t>Project Paris C (PROJECT_USER_PARIS)</t>
        </is>
      </c>
      <c r="B27" s="123" t="n"/>
      <c r="C27" s="120">
        <f>IF(UNIT_SYSTEM="SI","mm/cycle","in/cycle")</f>
        <v/>
      </c>
      <c r="D27" s="121" t="inlineStr">
        <is>
          <t>da/dN in mm/cycle (in/cycle) with dK in MPa√m (ksi√in)</t>
        </is>
      </c>
      <c r="E27" s="122" t="inlineStr">
        <is>
          <t>INPUT</t>
        </is>
      </c>
    </row>
    <row r="28" ht="15" customHeight="1" s="92">
      <c r="A28" s="111" t="inlineStr">
        <is>
          <t>Project Paris n</t>
        </is>
      </c>
      <c r="B28" s="123" t="n"/>
      <c r="C28" s="120" t="inlineStr">
        <is>
          <t>-</t>
        </is>
      </c>
      <c r="D28" s="121" t="n"/>
      <c r="E28" s="122" t="inlineStr">
        <is>
          <t>INPUT</t>
        </is>
      </c>
    </row>
    <row r="29" ht="15" customHeight="1" s="92">
      <c r="A29" s="111" t="inlineStr">
        <is>
          <t>Project threshold dKth</t>
        </is>
      </c>
      <c r="B29" s="123" t="n"/>
      <c r="C29" s="120">
        <f>IF(UNIT_SYSTEM="SI","MPa√m","ksi√in")</f>
        <v/>
      </c>
      <c r="D29" s="121" t="n"/>
      <c r="E29" s="122" t="inlineStr">
        <is>
          <t>INPUT</t>
        </is>
      </c>
    </row>
  </sheetData>
  <mergeCells count="5">
    <mergeCell ref="A4:E4"/>
    <mergeCell ref="A26:E26"/>
    <mergeCell ref="A2:E2"/>
    <mergeCell ref="A1:E1"/>
    <mergeCell ref="A17:E17"/>
  </mergeCells>
  <dataValidations count="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L_GROWTH_IDS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L_R_BASIS</formula1>
      <formula2>0</formula2>
    </dataValidation>
    <dataValidation sqref="B19" showDropDown="0" showInputMessage="1" showErrorMessage="1" allowBlank="1" errorTitle="ATLAS input" error="Select a value from the drop-down list" promptTitle="ATLAS" prompt="Select from the list" type="list" errorStyle="stop" operator="between">
      <formula1>L_WELD_EQ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L_RE_MODE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64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51">
        <f>"LOADS  -  KPSCL1 / KPSCL2 / RPSCL  ("&amp;UNIT_SYSTEM&amp;" UNITS)"</f>
        <v/>
      </c>
    </row>
    <row r="2" ht="15" customHeight="1" s="92">
      <c r="A2" s="115" t="inlineStr">
        <is>
          <t>STEP 1-2: stresses normal to the crack plane, uncracked component. Values are maxima of the constant-amplitude cycle.</t>
        </is>
      </c>
    </row>
    <row r="3" ht="15" customHeight="1" s="92">
      <c r="A3" s="152" t="inlineStr">
        <is>
          <t>Parameter</t>
        </is>
      </c>
      <c r="B3" s="152" t="inlineStr">
        <is>
          <t>Value</t>
        </is>
      </c>
      <c r="C3" s="152" t="inlineStr">
        <is>
          <t>Unit</t>
        </is>
      </c>
      <c r="D3" s="152" t="inlineStr">
        <is>
          <t>API 579 reference / note</t>
        </is>
      </c>
      <c r="E3" s="152" t="inlineStr">
        <is>
          <t>Status</t>
        </is>
      </c>
    </row>
    <row r="4" ht="19.5" customHeight="1" s="92">
      <c r="A4" s="153" t="inlineStr">
        <is>
          <t>STRESS DISTRIBUTION  (API 579 Annex 9B / 9C - plate, surface crack, infinite length)</t>
        </is>
      </c>
      <c r="B4" s="154" t="n"/>
      <c r="C4" s="154" t="n"/>
      <c r="D4" s="154" t="n"/>
      <c r="E4" s="154" t="n"/>
    </row>
    <row r="5" ht="31.5" customHeight="1" s="92">
      <c r="A5" s="111" t="inlineStr">
        <is>
          <t>Through-wall stress distribution (Annex 9B / 9C)</t>
        </is>
      </c>
      <c r="B5" s="155" t="inlineStr">
        <is>
          <t>Through-Wall Fourth Order Polynomial Stress Distribution - KPSCL1 (9B.3.2) / RPSCL (9C.3.2)</t>
        </is>
      </c>
      <c r="C5" s="120" t="inlineStr">
        <is>
          <t>-</t>
        </is>
      </c>
      <c r="D5" s="121" t="inlineStr">
        <is>
          <t>Selects the stress intensity solution (KPSCL1 or KPSCL2) and reference stress (RPSCL)</t>
        </is>
      </c>
      <c r="E5" s="122" t="inlineStr">
        <is>
          <t>INPUT</t>
        </is>
      </c>
    </row>
    <row r="6" ht="31.5" customHeight="1" s="92">
      <c r="A6" s="111" t="inlineStr">
        <is>
          <t>Stress input format</t>
        </is>
      </c>
      <c r="B6" s="155" t="inlineStr">
        <is>
          <t>Polynomial coefficients (sigma0 to sigma4)</t>
        </is>
      </c>
      <c r="C6" s="120" t="inlineStr">
        <is>
          <t>-</t>
        </is>
      </c>
      <c r="D6" s="121" t="inlineStr">
        <is>
          <t>Options depend on the distribution: Membrane + Bending is available for both</t>
        </is>
      </c>
      <c r="E6" s="122" t="inlineStr">
        <is>
          <t>INPUT</t>
        </is>
      </c>
    </row>
    <row r="7" ht="15" customHeight="1" s="92">
      <c r="A7" s="124" t="inlineStr">
        <is>
          <t>Solution code</t>
        </is>
      </c>
      <c r="B7" s="127">
        <f>IF(ISNUMBER(SEARCH("KPSCL2",in_stress_dist)),"KPSCL2","KPSCL1")</f>
        <v/>
      </c>
      <c r="C7" s="120" t="n"/>
      <c r="D7" s="121" t="n"/>
      <c r="E7" s="126" t="inlineStr">
        <is>
          <t>CALC</t>
        </is>
      </c>
    </row>
    <row r="8" ht="15" customHeight="1" s="92">
      <c r="A8" s="124" t="inlineStr">
        <is>
          <t>Stress intensity factor solution</t>
        </is>
      </c>
      <c r="B8" s="127">
        <f>IF(calc_sif="KPSCL2","KPSCL2 - weight function, Eqs. 9B.261-9B.269 (9B.3.3)","KPSCL1 - Eq. 9B.12 with G0-G4 (9B.3.2)")</f>
        <v/>
      </c>
      <c r="C8" s="120" t="n"/>
      <c r="D8" s="121" t="n"/>
      <c r="E8" s="126" t="inlineStr">
        <is>
          <t>CALC</t>
        </is>
      </c>
    </row>
    <row r="9" ht="15" customHeight="1" s="92">
      <c r="A9" s="124" t="inlineStr">
        <is>
          <t>Reference stress solution</t>
        </is>
      </c>
      <c r="B9" s="127">
        <f>IF(calc_sif="KPSCL2","RPSCL (9C.3.3 -&gt; 9C.3.2), Eq. 9C.31","RPSCL (9C.3.2), Eq. 9C.31")</f>
        <v/>
      </c>
      <c r="C9" s="120" t="n"/>
      <c r="D9" s="121" t="n"/>
      <c r="E9" s="126" t="inlineStr">
        <is>
          <t>CALC</t>
        </is>
      </c>
    </row>
    <row r="10" ht="15" customHeight="1" s="92">
      <c r="A10" s="124" t="inlineStr">
        <is>
          <t>Enter the stresses in</t>
        </is>
      </c>
      <c r="B10" s="127">
        <f>IF(ISNUMBER(SEARCH("Membrane",in_stress_input)),"Section MEMBRANE + BENDING below",IF(ISNUMBER(SEARCH("Polynomial",in_stress_input)),"Section FOURTH-ORDER POLYNOMIAL below",IF(ISNUMBER(SEARCH("profile",in_stress_input)),"Sheet 5B_Stress_Profile","Select the stress input format")))</f>
        <v/>
      </c>
      <c r="C10" s="120" t="n"/>
      <c r="D10" s="121" t="n"/>
      <c r="E10" s="126" t="inlineStr">
        <is>
          <t>CALC</t>
        </is>
      </c>
    </row>
    <row r="11" ht="15" customHeight="1" s="92">
      <c r="A11" s="124" t="inlineStr">
        <is>
          <t>Selection check</t>
        </is>
      </c>
      <c r="B11" s="127">
        <f>IF(AND(calc_sif="KPSCL1",ISNUMBER(SEARCH("profile",in_stress_input))),"NOT VALID - a point profile needs the Arbitrary distribution (KPSCL2)","OK")</f>
        <v/>
      </c>
      <c r="C11" s="120" t="n"/>
      <c r="D11" s="121" t="n"/>
      <c r="E11" s="126" t="inlineStr">
        <is>
          <t>CALC</t>
        </is>
      </c>
    </row>
    <row r="12" ht="19.5" customHeight="1" s="92">
      <c r="A12" s="153" t="inlineStr">
        <is>
          <t>MEMBRANE + BENDING  (used when the input format is Membrane + Bending)</t>
        </is>
      </c>
      <c r="B12" s="154" t="n"/>
      <c r="C12" s="154" t="n"/>
      <c r="D12" s="154" t="n"/>
      <c r="E12" s="154" t="n"/>
    </row>
    <row r="13" ht="15" customHeight="1" s="92">
      <c r="A13" s="111" t="inlineStr">
        <is>
          <t>Primary membrane stress, Pm</t>
        </is>
      </c>
      <c r="B13" s="137">
        <f>IF(UNIT_SYSTEM="SI",120,17.4045285276251)</f>
        <v/>
      </c>
      <c r="C13" s="120">
        <f>IF(UNIT_SYSTEM="SI","MPa","ksi")</f>
        <v/>
      </c>
      <c r="D13" s="121" t="n"/>
      <c r="E13" s="122" t="inlineStr">
        <is>
          <t>INPUT</t>
        </is>
      </c>
    </row>
    <row r="14" ht="15" customHeight="1" s="92">
      <c r="A14" s="111" t="inlineStr">
        <is>
          <t>Primary bending stress, Pb</t>
        </is>
      </c>
      <c r="B14" s="119">
        <f>IF(UNIT_SYSTEM="SI",30,4.35113213190628)</f>
        <v/>
      </c>
      <c r="C14" s="120">
        <f>IF(UNIT_SYSTEM="SI","MPa","ksi")</f>
        <v/>
      </c>
      <c r="D14" s="121" t="n"/>
      <c r="E14" s="122" t="inlineStr">
        <is>
          <t>INPUT</t>
        </is>
      </c>
    </row>
    <row r="15" ht="15" customHeight="1" s="92">
      <c r="A15" s="111" t="inlineStr">
        <is>
          <t>Secondary membrane stress, Sm</t>
        </is>
      </c>
      <c r="B15" s="119">
        <f>IF(UNIT_SYSTEM="SI",20,2.90075475460418)</f>
        <v/>
      </c>
      <c r="C15" s="120">
        <f>IF(UNIT_SYSTEM="SI","MPa","ksi")</f>
        <v/>
      </c>
      <c r="D15" s="121" t="n"/>
      <c r="E15" s="122" t="inlineStr">
        <is>
          <t>INPUT</t>
        </is>
      </c>
    </row>
    <row r="16" ht="15" customHeight="1" s="92">
      <c r="A16" s="111" t="inlineStr">
        <is>
          <t>Secondary bending stress, Sb</t>
        </is>
      </c>
      <c r="B16" s="119">
        <f>IF(UNIT_SYSTEM="SI",10,1.45037737730209)</f>
        <v/>
      </c>
      <c r="C16" s="120">
        <f>IF(UNIT_SYSTEM="SI","MPa","ksi")</f>
        <v/>
      </c>
      <c r="D16" s="121" t="n"/>
      <c r="E16" s="122" t="inlineStr">
        <is>
          <t>INPUT</t>
        </is>
      </c>
    </row>
    <row r="17" ht="19.5" customHeight="1" s="92">
      <c r="A17" s="153" t="inlineStr">
        <is>
          <t>FOURTH-ORDER POLYNOMIAL  sigma(x) = s0 + s1(x/t) + ... + s4(x/t)^4   (Eqs. 9B.3 / 9C.3)  - used with Polynomial coefficients</t>
        </is>
      </c>
      <c r="B17" s="154" t="n"/>
      <c r="C17" s="154" t="n"/>
      <c r="D17" s="154" t="n"/>
      <c r="E17" s="154" t="n"/>
    </row>
    <row r="18" ht="15" customHeight="1" s="92">
      <c r="A18" s="111" t="inlineStr">
        <is>
          <t>Primary polynomial sigma0</t>
        </is>
      </c>
      <c r="B18" s="137">
        <f>IF(UNIT_SYSTEM="SI",150,21.7556606595314)</f>
        <v/>
      </c>
      <c r="C18" s="120">
        <f>IF(UNIT_SYSTEM="SI","MPa","ksi")</f>
        <v/>
      </c>
      <c r="D18" s="121" t="n"/>
      <c r="E18" s="122" t="inlineStr">
        <is>
          <t>INPUT</t>
        </is>
      </c>
    </row>
    <row r="19" ht="15" customHeight="1" s="92">
      <c r="A19" s="111" t="inlineStr">
        <is>
          <t>Primary polynomial sigma1</t>
        </is>
      </c>
      <c r="B19" s="119">
        <f>IF(UNIT_SYSTEM="SI",-60,-8.70226426381255)</f>
        <v/>
      </c>
      <c r="C19" s="120">
        <f>IF(UNIT_SYSTEM="SI","MPa","ksi")</f>
        <v/>
      </c>
      <c r="D19" s="121" t="n"/>
      <c r="E19" s="122" t="inlineStr">
        <is>
          <t>INPUT</t>
        </is>
      </c>
    </row>
    <row r="20" ht="15" customHeight="1" s="92">
      <c r="A20" s="111" t="inlineStr">
        <is>
          <t>Primary polynomial P2</t>
        </is>
      </c>
      <c r="B20" s="119" t="n">
        <v>0</v>
      </c>
      <c r="C20" s="120">
        <f>IF(UNIT_SYSTEM="SI","MPa","ksi")</f>
        <v/>
      </c>
      <c r="D20" s="121" t="n"/>
      <c r="E20" s="122" t="inlineStr">
        <is>
          <t>INPUT</t>
        </is>
      </c>
    </row>
    <row r="21" ht="15" customHeight="1" s="92">
      <c r="A21" s="111" t="inlineStr">
        <is>
          <t>Primary polynomial P3</t>
        </is>
      </c>
      <c r="B21" s="119" t="n">
        <v>0</v>
      </c>
      <c r="C21" s="120">
        <f>IF(UNIT_SYSTEM="SI","MPa","ksi")</f>
        <v/>
      </c>
      <c r="D21" s="121" t="n"/>
      <c r="E21" s="122" t="inlineStr">
        <is>
          <t>INPUT</t>
        </is>
      </c>
    </row>
    <row r="22" ht="15" customHeight="1" s="92">
      <c r="A22" s="111" t="inlineStr">
        <is>
          <t>Primary polynomial P4</t>
        </is>
      </c>
      <c r="B22" s="119" t="n">
        <v>0</v>
      </c>
      <c r="C22" s="120">
        <f>IF(UNIT_SYSTEM="SI","MPa","ksi")</f>
        <v/>
      </c>
      <c r="D22" s="121" t="n"/>
      <c r="E22" s="122" t="inlineStr">
        <is>
          <t>INPUT</t>
        </is>
      </c>
    </row>
    <row r="23" ht="15" customHeight="1" s="92">
      <c r="A23" s="111" t="inlineStr">
        <is>
          <t>Secondary polynomial sigma0</t>
        </is>
      </c>
      <c r="B23" s="119">
        <f>IF(UNIT_SYSTEM="SI",30,4.35113213190628)</f>
        <v/>
      </c>
      <c r="C23" s="120">
        <f>IF(UNIT_SYSTEM="SI","MPa","ksi")</f>
        <v/>
      </c>
      <c r="D23" s="121" t="n"/>
      <c r="E23" s="122" t="inlineStr">
        <is>
          <t>INPUT</t>
        </is>
      </c>
    </row>
    <row r="24" ht="15" customHeight="1" s="92">
      <c r="A24" s="111" t="inlineStr">
        <is>
          <t>Secondary polynomial sigma1</t>
        </is>
      </c>
      <c r="B24" s="119">
        <f>IF(UNIT_SYSTEM="SI",-20,-2.90075475460418)</f>
        <v/>
      </c>
      <c r="C24" s="120">
        <f>IF(UNIT_SYSTEM="SI","MPa","ksi")</f>
        <v/>
      </c>
      <c r="D24" s="121" t="n"/>
      <c r="E24" s="122" t="inlineStr">
        <is>
          <t>INPUT</t>
        </is>
      </c>
    </row>
    <row r="25" ht="15" customHeight="1" s="92">
      <c r="A25" s="111" t="inlineStr">
        <is>
          <t>Secondary polynomial Q2</t>
        </is>
      </c>
      <c r="B25" s="119" t="n">
        <v>0</v>
      </c>
      <c r="C25" s="120">
        <f>IF(UNIT_SYSTEM="SI","MPa","ksi")</f>
        <v/>
      </c>
      <c r="D25" s="121" t="n"/>
      <c r="E25" s="122" t="inlineStr">
        <is>
          <t>INPUT</t>
        </is>
      </c>
    </row>
    <row r="26" ht="15" customHeight="1" s="92">
      <c r="A26" s="111" t="inlineStr">
        <is>
          <t>Secondary polynomial Q3</t>
        </is>
      </c>
      <c r="B26" s="119" t="n">
        <v>0</v>
      </c>
      <c r="C26" s="120">
        <f>IF(UNIT_SYSTEM="SI","MPa","ksi")</f>
        <v/>
      </c>
      <c r="D26" s="121" t="n"/>
      <c r="E26" s="122" t="inlineStr">
        <is>
          <t>INPUT</t>
        </is>
      </c>
    </row>
    <row r="27" ht="15" customHeight="1" s="92">
      <c r="A27" s="111" t="inlineStr">
        <is>
          <t>Secondary polynomial Q4</t>
        </is>
      </c>
      <c r="B27" s="119" t="n">
        <v>0</v>
      </c>
      <c r="C27" s="120">
        <f>IF(UNIT_SYSTEM="SI","MPa","ksi")</f>
        <v/>
      </c>
      <c r="D27" s="121" t="n"/>
      <c r="E27" s="122" t="inlineStr">
        <is>
          <t>INPUT</t>
        </is>
      </c>
    </row>
    <row r="28" ht="15" customHeight="1" s="92">
      <c r="A28" s="124" t="inlineStr">
        <is>
          <t>Primary Pm from polynomial</t>
        </is>
      </c>
      <c r="B28" s="125">
        <f>in_P0+in_P1/2+in_P2/3+in_P3/4+in_P4/5</f>
        <v/>
      </c>
      <c r="C28" s="120">
        <f>IF(UNIT_SYSTEM="SI","MPa","ksi")</f>
        <v/>
      </c>
      <c r="D28" s="121" t="inlineStr">
        <is>
          <t>Eq. 9C.4</t>
        </is>
      </c>
      <c r="E28" s="126" t="inlineStr">
        <is>
          <t>CALC</t>
        </is>
      </c>
    </row>
    <row r="29" ht="15" customHeight="1" s="92">
      <c r="A29" s="124" t="inlineStr">
        <is>
          <t>Primary Pb from polynomial</t>
        </is>
      </c>
      <c r="B29" s="125">
        <f>-in_P1/2-in_P2/2-9*in_P3/20-6*in_P4/15</f>
        <v/>
      </c>
      <c r="C29" s="120">
        <f>IF(UNIT_SYSTEM="SI","MPa","ksi")</f>
        <v/>
      </c>
      <c r="D29" s="121" t="inlineStr">
        <is>
          <t>Eq. 9C.5</t>
        </is>
      </c>
      <c r="E29" s="126" t="inlineStr">
        <is>
          <t>CALC</t>
        </is>
      </c>
    </row>
    <row r="30" ht="15" customHeight="1" s="92">
      <c r="A30" s="124" t="inlineStr">
        <is>
          <t>Secondary Sm from polynomial</t>
        </is>
      </c>
      <c r="B30" s="125">
        <f>in_Q0+in_Q1/2+in_Q2/3+in_Q3/4+in_Q4/5</f>
        <v/>
      </c>
      <c r="C30" s="120">
        <f>IF(UNIT_SYSTEM="SI","MPa","ksi")</f>
        <v/>
      </c>
      <c r="D30" s="121" t="inlineStr">
        <is>
          <t>Eq. 9C.4</t>
        </is>
      </c>
      <c r="E30" s="126" t="inlineStr">
        <is>
          <t>CALC</t>
        </is>
      </c>
    </row>
    <row r="31" ht="15" customHeight="1" s="92">
      <c r="A31" s="124" t="inlineStr">
        <is>
          <t>Secondary Sb from polynomial</t>
        </is>
      </c>
      <c r="B31" s="125">
        <f>-in_Q1/2-in_Q2/2-9*in_Q3/20-6*in_Q4/15</f>
        <v/>
      </c>
      <c r="C31" s="120">
        <f>IF(UNIT_SYSTEM="SI","MPa","ksi")</f>
        <v/>
      </c>
      <c r="D31" s="121" t="inlineStr">
        <is>
          <t>Eq. 9C.5</t>
        </is>
      </c>
      <c r="E31" s="126" t="inlineStr">
        <is>
          <t>CALC</t>
        </is>
      </c>
    </row>
    <row r="32" ht="19.5" customHeight="1" s="92">
      <c r="A32" s="153" t="inlineStr">
        <is>
          <t>CRACK-FACE PRESSURE AND REFERENCE STRESS OPTION (all input formats)</t>
        </is>
      </c>
      <c r="B32" s="154" t="n"/>
      <c r="C32" s="154" t="n"/>
      <c r="D32" s="154" t="n"/>
      <c r="E32" s="154" t="n"/>
    </row>
    <row r="33" ht="15" customHeight="1" s="92">
      <c r="A33" s="111" t="inlineStr">
        <is>
          <t>Crack-face pressure, pc</t>
        </is>
      </c>
      <c r="B33" s="119" t="n">
        <v>0</v>
      </c>
      <c r="C33" s="120">
        <f>IF(UNIT_SYSTEM="SI","MPa","ksi")</f>
        <v/>
      </c>
      <c r="D33" s="121" t="n"/>
      <c r="E33" s="122" t="inlineStr">
        <is>
          <t>INPUT</t>
        </is>
      </c>
    </row>
    <row r="34" ht="15" customHeight="1" s="92">
      <c r="A34" s="111" t="inlineStr">
        <is>
          <t>Add pc to Pm for reference stress</t>
        </is>
      </c>
      <c r="B34" s="123" t="inlineStr">
        <is>
          <t>YES</t>
        </is>
      </c>
      <c r="C34" s="120" t="inlineStr">
        <is>
          <t>-</t>
        </is>
      </c>
      <c r="D34" s="121" t="inlineStr">
        <is>
          <t>Conservative; engineering option</t>
        </is>
      </c>
      <c r="E34" s="122" t="inlineStr">
        <is>
          <t>INPUT</t>
        </is>
      </c>
    </row>
    <row r="35" ht="19.5" customHeight="1" s="92">
      <c r="A35" s="153" t="inlineStr">
        <is>
          <t>CONSTANT-AMPLITUDE CYCLE (load scales)</t>
        </is>
      </c>
      <c r="B35" s="154" t="n"/>
      <c r="C35" s="154" t="n"/>
      <c r="D35" s="154" t="n"/>
      <c r="E35" s="154" t="n"/>
    </row>
    <row r="36" ht="15" customHeight="1" s="92">
      <c r="A36" s="111" t="inlineStr">
        <is>
          <t>Minimum load scale (constant amplitude)</t>
        </is>
      </c>
      <c r="B36" s="119" t="n">
        <v>0</v>
      </c>
      <c r="C36" s="120" t="inlineStr">
        <is>
          <t>-</t>
        </is>
      </c>
      <c r="D36" s="121" t="inlineStr">
        <is>
          <t>Applied to primary + secondary</t>
        </is>
      </c>
      <c r="E36" s="122" t="inlineStr">
        <is>
          <t>INPUT</t>
        </is>
      </c>
    </row>
    <row r="37" ht="15" customHeight="1" s="92">
      <c r="A37" s="111" t="inlineStr">
        <is>
          <t>Maximum load scale (constant amplitude)</t>
        </is>
      </c>
      <c r="B37" s="119" t="n">
        <v>1</v>
      </c>
      <c r="C37" s="120" t="inlineStr">
        <is>
          <t>-</t>
        </is>
      </c>
      <c r="D37" s="121" t="n"/>
      <c r="E37" s="122" t="inlineStr">
        <is>
          <t>INPUT</t>
        </is>
      </c>
    </row>
  </sheetData>
  <mergeCells count="7">
    <mergeCell ref="A12:E12"/>
    <mergeCell ref="A4:E4"/>
    <mergeCell ref="A35:E35"/>
    <mergeCell ref="A2:E2"/>
    <mergeCell ref="A1:E1"/>
    <mergeCell ref="A32:E32"/>
    <mergeCell ref="A17:E17"/>
  </mergeCells>
  <conditionalFormatting sqref="B11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conditionalFormatting sqref="A12:E16">
    <cfRule type="expression" rank="0" priority="4" equalAverage="0" aboveAverage="0" dxfId="3" text="" percent="0" bottom="0">
      <formula>NOT(ISNUMBER(SEARCH("Membrane",in_stress_input)))</formula>
    </cfRule>
  </conditionalFormatting>
  <conditionalFormatting sqref="A17:E27">
    <cfRule type="expression" rank="0" priority="5" equalAverage="0" aboveAverage="0" dxfId="3" text="" percent="0" bottom="0">
      <formula>NOT(ISNUMBER(SEARCH("Polynomial",in_stress_input)))</formula>
    </cfRule>
  </conditionalFormatting>
  <dataValidations count="3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L_STRESS_DIST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INDIRECT("L_STRESS_INPUT_"&amp;calc_sif)</formula1>
      <formula2>0</formula2>
    </dataValidation>
    <dataValidation sqref="B3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1" min="1" max="1"/>
    <col width="16" customWidth="1" style="91" min="2" max="4"/>
    <col width="10" customWidth="1" style="91" min="5" max="5"/>
  </cols>
  <sheetData>
    <row r="1" ht="25.5" customHeight="1" s="92">
      <c r="A1" s="151">
        <f>"THROUGH-WALL STRESS PROFILE  -  ARBITRARY DISTRIBUTION  ("&amp;UNIT_SYSTEM&amp;" UNITS)"</f>
        <v/>
      </c>
    </row>
    <row r="2" ht="39.75" customHeight="1" s="92">
      <c r="A2" s="128" t="inlineStr">
        <is>
          <t>Stress normal to the crack plane in the uncracked plate, x measured from the cracked surface (0 to t). Used when 5_Loads = Through-Wall Arbitrary Stress Distribution (KPSCL2) with Point-by-point profile (primary, secondary) and/or residual method = USER_PROFILE. Linear between points; the first point must be at x = 0 and the last at x = t. Up to 50 rows; blank rows are ignored.</t>
        </is>
      </c>
    </row>
    <row r="3" ht="15" customHeight="1" s="92">
      <c r="A3" s="152">
        <f>IF(UNIT_SYSTEM="SI","x (mm)","x (in)")</f>
        <v/>
      </c>
      <c r="B3" s="152">
        <f>IF(UNIT_SYSTEM="SI","Primary (MPa)","Primary (ksi)")</f>
        <v/>
      </c>
      <c r="C3" s="152">
        <f>IF(UNIT_SYSTEM="SI","Secondary (MPa)","Secondary (ksi)")</f>
        <v/>
      </c>
      <c r="D3" s="152">
        <f>IF(UNIT_SYSTEM="SI","Residual (MPa)","Residual (ksi)")</f>
        <v/>
      </c>
      <c r="E3" s="152" t="inlineStr">
        <is>
          <t>x/t</t>
        </is>
      </c>
    </row>
    <row r="4" ht="15" customHeight="1" s="92">
      <c r="A4" s="156">
        <f>IF(UNIT_SYSTEM="SI",0,0)</f>
        <v/>
      </c>
      <c r="B4" s="156">
        <f>IF(UNIT_SYSTEM="SI",150,21.7556606595314)</f>
        <v/>
      </c>
      <c r="C4" s="156">
        <f>IF(UNIT_SYSTEM="SI",30,4.35113213190628)</f>
        <v/>
      </c>
      <c r="D4" s="156">
        <f>IF(UNIT_SYSTEM="SI",20,2.90075475460418)</f>
        <v/>
      </c>
      <c r="E4" s="157">
        <f>IF(ISNUMBER(A4),A4/in_t,"")</f>
        <v/>
      </c>
    </row>
    <row r="5" ht="15" customHeight="1" s="92">
      <c r="A5" s="156">
        <f>IF(UNIT_SYSTEM="SI",2,0.078740157480315)</f>
        <v/>
      </c>
      <c r="B5" s="156">
        <f>IF(UNIT_SYSTEM="SI",144,20.8854342331501)</f>
        <v/>
      </c>
      <c r="C5" s="156">
        <f>IF(UNIT_SYSTEM="SI",28,4.06105665644586)</f>
        <v/>
      </c>
      <c r="D5" s="156">
        <f>IF(UNIT_SYSTEM="SI",19,2.75571701687398)</f>
        <v/>
      </c>
      <c r="E5" s="157">
        <f>IF(ISNUMBER(A5),A5/in_t,"")</f>
        <v/>
      </c>
    </row>
    <row r="6" ht="15" customHeight="1" s="92">
      <c r="A6" s="156">
        <f>IF(UNIT_SYSTEM="SI",4,0.15748031496063)</f>
        <v/>
      </c>
      <c r="B6" s="156">
        <f>IF(UNIT_SYSTEM="SI",138,20.0152078067689)</f>
        <v/>
      </c>
      <c r="C6" s="156">
        <f>IF(UNIT_SYSTEM="SI",26,3.77098118098544)</f>
        <v/>
      </c>
      <c r="D6" s="156">
        <f>IF(UNIT_SYSTEM="SI",18,2.61067927914377)</f>
        <v/>
      </c>
      <c r="E6" s="157">
        <f>IF(ISNUMBER(A6),A6/in_t,"")</f>
        <v/>
      </c>
    </row>
    <row r="7" ht="15" customHeight="1" s="92">
      <c r="A7" s="156">
        <f>IF(UNIT_SYSTEM="SI",6,0.236220472440945)</f>
        <v/>
      </c>
      <c r="B7" s="156">
        <f>IF(UNIT_SYSTEM="SI",132,19.1449813803876)</f>
        <v/>
      </c>
      <c r="C7" s="156">
        <f>IF(UNIT_SYSTEM="SI",24,3.48090570552502)</f>
        <v/>
      </c>
      <c r="D7" s="156">
        <f>IF(UNIT_SYSTEM="SI",17,2.46564154141356)</f>
        <v/>
      </c>
      <c r="E7" s="157">
        <f>IF(ISNUMBER(A7),A7/in_t,"")</f>
        <v/>
      </c>
    </row>
    <row r="8" ht="15" customHeight="1" s="92">
      <c r="A8" s="156">
        <f>IF(UNIT_SYSTEM="SI",8,0.31496062992126)</f>
        <v/>
      </c>
      <c r="B8" s="156">
        <f>IF(UNIT_SYSTEM="SI",126,18.2747549540064)</f>
        <v/>
      </c>
      <c r="C8" s="156">
        <f>IF(UNIT_SYSTEM="SI",22,3.1908302300646)</f>
        <v/>
      </c>
      <c r="D8" s="156">
        <f>IF(UNIT_SYSTEM="SI",16,2.32060380368335)</f>
        <v/>
      </c>
      <c r="E8" s="157">
        <f>IF(ISNUMBER(A8),A8/in_t,"")</f>
        <v/>
      </c>
    </row>
    <row r="9" ht="15" customHeight="1" s="92">
      <c r="A9" s="156">
        <f>IF(UNIT_SYSTEM="SI",10,0.393700787401575)</f>
        <v/>
      </c>
      <c r="B9" s="156">
        <f>IF(UNIT_SYSTEM="SI",120,17.4045285276251)</f>
        <v/>
      </c>
      <c r="C9" s="156">
        <f>IF(UNIT_SYSTEM="SI",20,2.90075475460418)</f>
        <v/>
      </c>
      <c r="D9" s="156">
        <f>IF(UNIT_SYSTEM="SI",15,2.17556606595314)</f>
        <v/>
      </c>
      <c r="E9" s="157">
        <f>IF(ISNUMBER(A9),A9/in_t,"")</f>
        <v/>
      </c>
    </row>
    <row r="10" ht="15" customHeight="1" s="92">
      <c r="A10" s="156">
        <f>IF(UNIT_SYSTEM="SI",12,0.47244094488189)</f>
        <v/>
      </c>
      <c r="B10" s="156">
        <f>IF(UNIT_SYSTEM="SI",114,16.5343021012439)</f>
        <v/>
      </c>
      <c r="C10" s="156">
        <f>IF(UNIT_SYSTEM="SI",18,2.61067927914377)</f>
        <v/>
      </c>
      <c r="D10" s="156">
        <f>IF(UNIT_SYSTEM="SI",14,2.03052832822293)</f>
        <v/>
      </c>
      <c r="E10" s="157">
        <f>IF(ISNUMBER(A10),A10/in_t,"")</f>
        <v/>
      </c>
    </row>
    <row r="11" ht="15" customHeight="1" s="92">
      <c r="A11" s="156">
        <f>IF(UNIT_SYSTEM="SI",14,0.551181102362205)</f>
        <v/>
      </c>
      <c r="B11" s="156">
        <f>IF(UNIT_SYSTEM="SI",108,15.6640756748626)</f>
        <v/>
      </c>
      <c r="C11" s="156">
        <f>IF(UNIT_SYSTEM="SI",16,2.32060380368335)</f>
        <v/>
      </c>
      <c r="D11" s="156">
        <f>IF(UNIT_SYSTEM="SI",13,1.88549059049272)</f>
        <v/>
      </c>
      <c r="E11" s="157">
        <f>IF(ISNUMBER(A11),A11/in_t,"")</f>
        <v/>
      </c>
    </row>
    <row r="12" ht="15" customHeight="1" s="92">
      <c r="A12" s="156">
        <f>IF(UNIT_SYSTEM="SI",16,0.62992125984252)</f>
        <v/>
      </c>
      <c r="B12" s="156">
        <f>IF(UNIT_SYSTEM="SI",102,14.7938492484813)</f>
        <v/>
      </c>
      <c r="C12" s="156">
        <f>IF(UNIT_SYSTEM="SI",14,2.03052832822293)</f>
        <v/>
      </c>
      <c r="D12" s="156">
        <f>IF(UNIT_SYSTEM="SI",12,1.74045285276251)</f>
        <v/>
      </c>
      <c r="E12" s="157">
        <f>IF(ISNUMBER(A12),A12/in_t,"")</f>
        <v/>
      </c>
    </row>
    <row r="13" ht="15" customHeight="1" s="92">
      <c r="A13" s="156">
        <f>IF(UNIT_SYSTEM="SI",18,0.708661417322835)</f>
        <v/>
      </c>
      <c r="B13" s="156">
        <f>IF(UNIT_SYSTEM="SI",96,13.9236228221001)</f>
        <v/>
      </c>
      <c r="C13" s="156">
        <f>IF(UNIT_SYSTEM="SI",12,1.74045285276251)</f>
        <v/>
      </c>
      <c r="D13" s="156">
        <f>IF(UNIT_SYSTEM="SI",11,1.5954151150323)</f>
        <v/>
      </c>
      <c r="E13" s="157">
        <f>IF(ISNUMBER(A13),A13/in_t,"")</f>
        <v/>
      </c>
    </row>
    <row r="14" ht="15" customHeight="1" s="92">
      <c r="A14" s="156">
        <f>IF(UNIT_SYSTEM="SI",20,0.78740157480315)</f>
        <v/>
      </c>
      <c r="B14" s="156">
        <f>IF(UNIT_SYSTEM="SI",90,13.0533963957188)</f>
        <v/>
      </c>
      <c r="C14" s="156">
        <f>IF(UNIT_SYSTEM="SI",10,1.45037737730209)</f>
        <v/>
      </c>
      <c r="D14" s="156">
        <f>IF(UNIT_SYSTEM="SI",10,1.45037737730209)</f>
        <v/>
      </c>
      <c r="E14" s="157">
        <f>IF(ISNUMBER(A14),A14/in_t,"")</f>
        <v/>
      </c>
    </row>
    <row r="15" ht="15" customHeight="1" s="92">
      <c r="A15" s="156" t="n"/>
      <c r="B15" s="156" t="n"/>
      <c r="C15" s="156" t="n"/>
      <c r="D15" s="156" t="n"/>
      <c r="E15" s="157">
        <f>IF(ISNUMBER(A15),A15/in_t,"")</f>
        <v/>
      </c>
    </row>
    <row r="16" ht="15" customHeight="1" s="92">
      <c r="A16" s="156" t="n"/>
      <c r="B16" s="156" t="n"/>
      <c r="C16" s="156" t="n"/>
      <c r="D16" s="156" t="n"/>
      <c r="E16" s="157">
        <f>IF(ISNUMBER(A16),A16/in_t,"")</f>
        <v/>
      </c>
    </row>
    <row r="17" ht="15" customHeight="1" s="92">
      <c r="A17" s="156" t="n"/>
      <c r="B17" s="156" t="n"/>
      <c r="C17" s="156" t="n"/>
      <c r="D17" s="156" t="n"/>
      <c r="E17" s="157">
        <f>IF(ISNUMBER(A17),A17/in_t,"")</f>
        <v/>
      </c>
    </row>
    <row r="18" ht="15" customHeight="1" s="92">
      <c r="A18" s="156" t="n"/>
      <c r="B18" s="156" t="n"/>
      <c r="C18" s="156" t="n"/>
      <c r="D18" s="156" t="n"/>
      <c r="E18" s="157">
        <f>IF(ISNUMBER(A18),A18/in_t,"")</f>
        <v/>
      </c>
    </row>
    <row r="19" ht="15" customHeight="1" s="92">
      <c r="A19" s="156" t="n"/>
      <c r="B19" s="156" t="n"/>
      <c r="C19" s="156" t="n"/>
      <c r="D19" s="156" t="n"/>
      <c r="E19" s="157">
        <f>IF(ISNUMBER(A19),A19/in_t,"")</f>
        <v/>
      </c>
    </row>
    <row r="20" ht="15" customHeight="1" s="92">
      <c r="A20" s="156" t="n"/>
      <c r="B20" s="156" t="n"/>
      <c r="C20" s="156" t="n"/>
      <c r="D20" s="156" t="n"/>
      <c r="E20" s="157">
        <f>IF(ISNUMBER(A20),A20/in_t,"")</f>
        <v/>
      </c>
    </row>
    <row r="21" ht="15" customHeight="1" s="92">
      <c r="A21" s="156" t="n"/>
      <c r="B21" s="156" t="n"/>
      <c r="C21" s="156" t="n"/>
      <c r="D21" s="156" t="n"/>
      <c r="E21" s="157">
        <f>IF(ISNUMBER(A21),A21/in_t,"")</f>
        <v/>
      </c>
    </row>
    <row r="22" ht="15" customHeight="1" s="92">
      <c r="A22" s="156" t="n"/>
      <c r="B22" s="156" t="n"/>
      <c r="C22" s="156" t="n"/>
      <c r="D22" s="156" t="n"/>
      <c r="E22" s="157">
        <f>IF(ISNUMBER(A22),A22/in_t,"")</f>
        <v/>
      </c>
    </row>
    <row r="23" ht="15" customHeight="1" s="92">
      <c r="A23" s="156" t="n"/>
      <c r="B23" s="156" t="n"/>
      <c r="C23" s="156" t="n"/>
      <c r="D23" s="156" t="n"/>
      <c r="E23" s="157">
        <f>IF(ISNUMBER(A23),A23/in_t,"")</f>
        <v/>
      </c>
    </row>
    <row r="24" ht="15" customHeight="1" s="92">
      <c r="A24" s="156" t="n"/>
      <c r="B24" s="156" t="n"/>
      <c r="C24" s="156" t="n"/>
      <c r="D24" s="156" t="n"/>
      <c r="E24" s="157">
        <f>IF(ISNUMBER(A24),A24/in_t,"")</f>
        <v/>
      </c>
    </row>
    <row r="25" ht="15" customHeight="1" s="92">
      <c r="A25" s="156" t="n"/>
      <c r="B25" s="156" t="n"/>
      <c r="C25" s="156" t="n"/>
      <c r="D25" s="156" t="n"/>
      <c r="E25" s="157">
        <f>IF(ISNUMBER(A25),A25/in_t,"")</f>
        <v/>
      </c>
    </row>
    <row r="26" ht="15" customHeight="1" s="92">
      <c r="A26" s="156" t="n"/>
      <c r="B26" s="156" t="n"/>
      <c r="C26" s="156" t="n"/>
      <c r="D26" s="156" t="n"/>
      <c r="E26" s="157">
        <f>IF(ISNUMBER(A26),A26/in_t,"")</f>
        <v/>
      </c>
    </row>
    <row r="27" ht="15" customHeight="1" s="92">
      <c r="A27" s="156" t="n"/>
      <c r="B27" s="156" t="n"/>
      <c r="C27" s="156" t="n"/>
      <c r="D27" s="156" t="n"/>
      <c r="E27" s="157">
        <f>IF(ISNUMBER(A27),A27/in_t,"")</f>
        <v/>
      </c>
    </row>
    <row r="28" ht="15" customHeight="1" s="92">
      <c r="A28" s="156" t="n"/>
      <c r="B28" s="156" t="n"/>
      <c r="C28" s="156" t="n"/>
      <c r="D28" s="156" t="n"/>
      <c r="E28" s="157">
        <f>IF(ISNUMBER(A28),A28/in_t,"")</f>
        <v/>
      </c>
    </row>
    <row r="29" ht="15" customHeight="1" s="92">
      <c r="A29" s="156" t="n"/>
      <c r="B29" s="156" t="n"/>
      <c r="C29" s="156" t="n"/>
      <c r="D29" s="156" t="n"/>
      <c r="E29" s="157">
        <f>IF(ISNUMBER(A29),A29/in_t,"")</f>
        <v/>
      </c>
    </row>
    <row r="30" ht="15" customHeight="1" s="92">
      <c r="A30" s="156" t="n"/>
      <c r="B30" s="156" t="n"/>
      <c r="C30" s="156" t="n"/>
      <c r="D30" s="156" t="n"/>
      <c r="E30" s="157">
        <f>IF(ISNUMBER(A30),A30/in_t,"")</f>
        <v/>
      </c>
    </row>
    <row r="31" ht="15" customHeight="1" s="92">
      <c r="A31" s="156" t="n"/>
      <c r="B31" s="156" t="n"/>
      <c r="C31" s="156" t="n"/>
      <c r="D31" s="156" t="n"/>
      <c r="E31" s="157">
        <f>IF(ISNUMBER(A31),A31/in_t,"")</f>
        <v/>
      </c>
    </row>
    <row r="32" ht="15" customHeight="1" s="92">
      <c r="A32" s="156" t="n"/>
      <c r="B32" s="156" t="n"/>
      <c r="C32" s="156" t="n"/>
      <c r="D32" s="156" t="n"/>
      <c r="E32" s="157">
        <f>IF(ISNUMBER(A32),A32/in_t,"")</f>
        <v/>
      </c>
    </row>
    <row r="33" ht="15" customHeight="1" s="92">
      <c r="A33" s="156" t="n"/>
      <c r="B33" s="156" t="n"/>
      <c r="C33" s="156" t="n"/>
      <c r="D33" s="156" t="n"/>
      <c r="E33" s="157">
        <f>IF(ISNUMBER(A33),A33/in_t,"")</f>
        <v/>
      </c>
    </row>
    <row r="34" ht="15" customHeight="1" s="92">
      <c r="A34" s="156" t="n"/>
      <c r="B34" s="156" t="n"/>
      <c r="C34" s="156" t="n"/>
      <c r="D34" s="156" t="n"/>
      <c r="E34" s="157">
        <f>IF(ISNUMBER(A34),A34/in_t,"")</f>
        <v/>
      </c>
    </row>
    <row r="35" ht="15" customHeight="1" s="92">
      <c r="A35" s="156" t="n"/>
      <c r="B35" s="156" t="n"/>
      <c r="C35" s="156" t="n"/>
      <c r="D35" s="156" t="n"/>
      <c r="E35" s="157">
        <f>IF(ISNUMBER(A35),A35/in_t,"")</f>
        <v/>
      </c>
    </row>
    <row r="36" ht="15" customHeight="1" s="92">
      <c r="A36" s="156" t="n"/>
      <c r="B36" s="156" t="n"/>
      <c r="C36" s="156" t="n"/>
      <c r="D36" s="156" t="n"/>
      <c r="E36" s="157">
        <f>IF(ISNUMBER(A36),A36/in_t,"")</f>
        <v/>
      </c>
    </row>
    <row r="37" ht="15" customHeight="1" s="92">
      <c r="A37" s="156" t="n"/>
      <c r="B37" s="156" t="n"/>
      <c r="C37" s="156" t="n"/>
      <c r="D37" s="156" t="n"/>
      <c r="E37" s="157">
        <f>IF(ISNUMBER(A37),A37/in_t,"")</f>
        <v/>
      </c>
    </row>
    <row r="38" ht="15" customHeight="1" s="92">
      <c r="A38" s="156" t="n"/>
      <c r="B38" s="156" t="n"/>
      <c r="C38" s="156" t="n"/>
      <c r="D38" s="156" t="n"/>
      <c r="E38" s="157">
        <f>IF(ISNUMBER(A38),A38/in_t,"")</f>
        <v/>
      </c>
    </row>
    <row r="39" ht="15" customHeight="1" s="92">
      <c r="A39" s="156" t="n"/>
      <c r="B39" s="156" t="n"/>
      <c r="C39" s="156" t="n"/>
      <c r="D39" s="156" t="n"/>
      <c r="E39" s="157">
        <f>IF(ISNUMBER(A39),A39/in_t,"")</f>
        <v/>
      </c>
    </row>
    <row r="40" ht="15" customHeight="1" s="92">
      <c r="A40" s="156" t="n"/>
      <c r="B40" s="156" t="n"/>
      <c r="C40" s="156" t="n"/>
      <c r="D40" s="156" t="n"/>
      <c r="E40" s="157">
        <f>IF(ISNUMBER(A40),A40/in_t,"")</f>
        <v/>
      </c>
    </row>
    <row r="41" ht="15" customHeight="1" s="92">
      <c r="A41" s="156" t="n"/>
      <c r="B41" s="156" t="n"/>
      <c r="C41" s="156" t="n"/>
      <c r="D41" s="156" t="n"/>
      <c r="E41" s="157">
        <f>IF(ISNUMBER(A41),A41/in_t,"")</f>
        <v/>
      </c>
    </row>
    <row r="42" ht="15" customHeight="1" s="92">
      <c r="A42" s="156" t="n"/>
      <c r="B42" s="156" t="n"/>
      <c r="C42" s="156" t="n"/>
      <c r="D42" s="156" t="n"/>
      <c r="E42" s="157">
        <f>IF(ISNUMBER(A42),A42/in_t,"")</f>
        <v/>
      </c>
    </row>
    <row r="43" ht="15" customHeight="1" s="92">
      <c r="A43" s="156" t="n"/>
      <c r="B43" s="156" t="n"/>
      <c r="C43" s="156" t="n"/>
      <c r="D43" s="156" t="n"/>
      <c r="E43" s="157">
        <f>IF(ISNUMBER(A43),A43/in_t,"")</f>
        <v/>
      </c>
    </row>
    <row r="44" ht="15" customHeight="1" s="92">
      <c r="A44" s="156" t="n"/>
      <c r="B44" s="156" t="n"/>
      <c r="C44" s="156" t="n"/>
      <c r="D44" s="156" t="n"/>
      <c r="E44" s="157">
        <f>IF(ISNUMBER(A44),A44/in_t,"")</f>
        <v/>
      </c>
    </row>
    <row r="45" ht="15" customHeight="1" s="92">
      <c r="A45" s="156" t="n"/>
      <c r="B45" s="156" t="n"/>
      <c r="C45" s="156" t="n"/>
      <c r="D45" s="156" t="n"/>
      <c r="E45" s="157">
        <f>IF(ISNUMBER(A45),A45/in_t,"")</f>
        <v/>
      </c>
    </row>
    <row r="46" ht="15" customHeight="1" s="92">
      <c r="A46" s="156" t="n"/>
      <c r="B46" s="156" t="n"/>
      <c r="C46" s="156" t="n"/>
      <c r="D46" s="156" t="n"/>
      <c r="E46" s="157">
        <f>IF(ISNUMBER(A46),A46/in_t,"")</f>
        <v/>
      </c>
    </row>
    <row r="47" ht="15" customHeight="1" s="92">
      <c r="A47" s="156" t="n"/>
      <c r="B47" s="156" t="n"/>
      <c r="C47" s="156" t="n"/>
      <c r="D47" s="156" t="n"/>
      <c r="E47" s="157">
        <f>IF(ISNUMBER(A47),A47/in_t,"")</f>
        <v/>
      </c>
    </row>
    <row r="48" ht="15" customHeight="1" s="92">
      <c r="A48" s="156" t="n"/>
      <c r="B48" s="156" t="n"/>
      <c r="C48" s="156" t="n"/>
      <c r="D48" s="156" t="n"/>
      <c r="E48" s="157">
        <f>IF(ISNUMBER(A48),A48/in_t,"")</f>
        <v/>
      </c>
    </row>
    <row r="49" ht="15" customHeight="1" s="92">
      <c r="A49" s="156" t="n"/>
      <c r="B49" s="156" t="n"/>
      <c r="C49" s="156" t="n"/>
      <c r="D49" s="156" t="n"/>
      <c r="E49" s="157">
        <f>IF(ISNUMBER(A49),A49/in_t,"")</f>
        <v/>
      </c>
    </row>
    <row r="50" ht="15" customHeight="1" s="92">
      <c r="A50" s="156" t="n"/>
      <c r="B50" s="156" t="n"/>
      <c r="C50" s="156" t="n"/>
      <c r="D50" s="156" t="n"/>
      <c r="E50" s="157">
        <f>IF(ISNUMBER(A50),A50/in_t,"")</f>
        <v/>
      </c>
    </row>
    <row r="51" ht="15" customHeight="1" s="92">
      <c r="A51" s="156" t="n"/>
      <c r="B51" s="156" t="n"/>
      <c r="C51" s="156" t="n"/>
      <c r="D51" s="156" t="n"/>
      <c r="E51" s="157">
        <f>IF(ISNUMBER(A51),A51/in_t,"")</f>
        <v/>
      </c>
    </row>
    <row r="52" ht="15" customHeight="1" s="92">
      <c r="A52" s="156" t="n"/>
      <c r="B52" s="156" t="n"/>
      <c r="C52" s="156" t="n"/>
      <c r="D52" s="156" t="n"/>
      <c r="E52" s="157">
        <f>IF(ISNUMBER(A52),A52/in_t,"")</f>
        <v/>
      </c>
    </row>
    <row r="53" ht="15" customHeight="1" s="92">
      <c r="A53" s="156" t="n"/>
      <c r="B53" s="156" t="n"/>
      <c r="C53" s="156" t="n"/>
      <c r="D53" s="156" t="n"/>
      <c r="E53" s="157">
        <f>IF(ISNUMBER(A53),A53/in_t,"")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E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58">
        <f>"RESIDUAL STRESS  -  KPSCL1 / KPSCL2 / RPSCL  ("&amp;UNIT_SYSTEM&amp;" UNITS)"</f>
        <v/>
      </c>
    </row>
    <row r="2" ht="15" customHeight="1" s="92">
      <c r="A2" s="115" t="inlineStr">
        <is>
          <t>Annex 9D. Residual stress is held constant (not scaled) and enters KISR and the stress ratio R.</t>
        </is>
      </c>
    </row>
    <row r="3" ht="15" customHeight="1" s="92">
      <c r="A3" s="159" t="inlineStr">
        <is>
          <t>Parameter</t>
        </is>
      </c>
      <c r="B3" s="159" t="inlineStr">
        <is>
          <t>Value</t>
        </is>
      </c>
      <c r="C3" s="159" t="inlineStr">
        <is>
          <t>Unit</t>
        </is>
      </c>
      <c r="D3" s="159" t="inlineStr">
        <is>
          <t>API 579 reference / note</t>
        </is>
      </c>
      <c r="E3" s="159" t="inlineStr">
        <is>
          <t>Status</t>
        </is>
      </c>
    </row>
    <row r="4" ht="19.5" customHeight="1" s="92">
      <c r="A4" s="160" t="inlineStr">
        <is>
          <t>METHOD</t>
        </is>
      </c>
      <c r="B4" s="161" t="n"/>
      <c r="C4" s="161" t="n"/>
      <c r="D4" s="161" t="n"/>
      <c r="E4" s="161" t="n"/>
    </row>
    <row r="5" ht="15" customHeight="1" s="92">
      <c r="A5" s="111" t="inlineStr">
        <is>
          <t>Residual stress method</t>
        </is>
      </c>
      <c r="B5" s="123" t="inlineStr">
        <is>
          <t>USER_DEFINED</t>
        </is>
      </c>
      <c r="C5" s="120" t="inlineStr">
        <is>
          <t>-</t>
        </is>
      </c>
      <c r="D5" s="121" t="inlineStr">
        <is>
          <t>USER_PROFILE uses the residual column of 5B_Stress_Profile</t>
        </is>
      </c>
      <c r="E5" s="122" t="inlineStr">
        <is>
          <t>INPUT</t>
        </is>
      </c>
    </row>
    <row r="6" ht="19.5" customHeight="1" s="92">
      <c r="A6" s="160" t="inlineStr">
        <is>
          <t>USER_DEFINED</t>
        </is>
      </c>
      <c r="B6" s="161" t="n"/>
      <c r="C6" s="161" t="n"/>
      <c r="D6" s="161" t="n"/>
      <c r="E6" s="161" t="n"/>
    </row>
    <row r="7" ht="15" customHeight="1" s="92">
      <c r="A7" s="111" t="inlineStr">
        <is>
          <t>Residual membrane stress, Rm (USER_DEFINED)</t>
        </is>
      </c>
      <c r="B7" s="119">
        <f>IF(UNIT_SYSTEM="SI",15,2.17556606595314)</f>
        <v/>
      </c>
      <c r="C7" s="120">
        <f>IF(UNIT_SYSTEM="SI","MPa","ksi")</f>
        <v/>
      </c>
      <c r="D7" s="121" t="n"/>
      <c r="E7" s="122" t="inlineStr">
        <is>
          <t>INPUT</t>
        </is>
      </c>
    </row>
    <row r="8" ht="15" customHeight="1" s="92">
      <c r="A8" s="111" t="inlineStr">
        <is>
          <t>Residual bending stress, Rb (USER_DEFINED)</t>
        </is>
      </c>
      <c r="B8" s="119">
        <f>IF(UNIT_SYSTEM="SI",5,0.725188688651046)</f>
        <v/>
      </c>
      <c r="C8" s="120">
        <f>IF(UNIT_SYSTEM="SI","MPa","ksi")</f>
        <v/>
      </c>
      <c r="D8" s="121" t="n"/>
      <c r="E8" s="122" t="inlineStr">
        <is>
          <t>INPUT</t>
        </is>
      </c>
    </row>
    <row r="9" ht="19.5" customHeight="1" s="92">
      <c r="A9" s="160" t="inlineStr">
        <is>
          <t>ANNEX_9D DATA (9D.3.1 required data)</t>
        </is>
      </c>
      <c r="B9" s="161" t="n"/>
      <c r="C9" s="161" t="n"/>
      <c r="D9" s="161" t="n"/>
      <c r="E9" s="161" t="n"/>
    </row>
    <row r="10" ht="15" customHeight="1" s="92">
      <c r="A10" s="111" t="inlineStr">
        <is>
          <t>Material specification (9D.3.1)</t>
        </is>
      </c>
      <c r="B10" s="123" t="inlineStr">
        <is>
          <t>SA-516 Gr 70</t>
        </is>
      </c>
      <c r="C10" s="120" t="inlineStr">
        <is>
          <t>-</t>
        </is>
      </c>
      <c r="D10" s="121" t="inlineStr">
        <is>
          <t>Suggestion list; free text allowed</t>
        </is>
      </c>
      <c r="E10" s="122" t="inlineStr">
        <is>
          <t>INPUT</t>
        </is>
      </c>
    </row>
    <row r="11" ht="15" customHeight="1" s="92">
      <c r="A11" s="111" t="inlineStr">
        <is>
          <t>Base material SMYS (blank = material DB)</t>
        </is>
      </c>
      <c r="B11" s="123" t="n"/>
      <c r="C11" s="120">
        <f>IF(UNIT_SYSTEM="SI","MPa","ksi")</f>
        <v/>
      </c>
      <c r="D11" s="121" t="n"/>
      <c r="E11" s="122" t="inlineStr">
        <is>
          <t>INPUT</t>
        </is>
      </c>
    </row>
    <row r="12" ht="15" customHeight="1" s="92">
      <c r="A12" s="111" t="inlineStr">
        <is>
          <t>Residual yield basis</t>
        </is>
      </c>
      <c r="B12" s="123" t="inlineStr">
        <is>
          <t>ESTIMATED_FROM_SMYS</t>
        </is>
      </c>
      <c r="C12" s="120" t="inlineStr">
        <is>
          <t>-</t>
        </is>
      </c>
      <c r="D12" s="121" t="inlineStr">
        <is>
          <t>Eq. 9D.1 or actual</t>
        </is>
      </c>
      <c r="E12" s="122" t="inlineStr">
        <is>
          <t>INPUT</t>
        </is>
      </c>
    </row>
    <row r="13" ht="15" customHeight="1" s="92">
      <c r="A13" s="111" t="inlineStr">
        <is>
          <t>Actual yield strength</t>
        </is>
      </c>
      <c r="B13" s="137">
        <f>IF(UNIT_SYSTEM="SI",419,60.7708121089577)</f>
        <v/>
      </c>
      <c r="C13" s="120">
        <f>IF(UNIT_SYSTEM="SI","MPa","ksi")</f>
        <v/>
      </c>
      <c r="D13" s="121" t="n"/>
      <c r="E13" s="122" t="inlineStr">
        <is>
          <t>INPUT</t>
        </is>
      </c>
    </row>
    <row r="14" ht="15" customHeight="1" s="92">
      <c r="A14" s="111" t="inlineStr">
        <is>
          <t>Weld type</t>
        </is>
      </c>
      <c r="B14" s="123" t="inlineStr">
        <is>
          <t>BUTT_WELD</t>
        </is>
      </c>
      <c r="C14" s="120" t="inlineStr">
        <is>
          <t>-</t>
        </is>
      </c>
      <c r="D14" s="121" t="n"/>
      <c r="E14" s="122" t="inlineStr">
        <is>
          <t>INPUT</t>
        </is>
      </c>
    </row>
    <row r="15" ht="15" customHeight="1" s="92">
      <c r="A15" s="111" t="inlineStr">
        <is>
          <t>Weld joint configuration</t>
        </is>
      </c>
      <c r="B15" s="123" t="inlineStr">
        <is>
          <t>FULL_PENETRATION</t>
        </is>
      </c>
      <c r="C15" s="120" t="inlineStr">
        <is>
          <t>-</t>
        </is>
      </c>
      <c r="D15" s="121" t="n"/>
      <c r="E15" s="122" t="inlineStr">
        <is>
          <t>INPUT</t>
        </is>
      </c>
    </row>
    <row r="16" ht="15" customHeight="1" s="92">
      <c r="A16" s="111" t="inlineStr">
        <is>
          <t>Weld condition</t>
        </is>
      </c>
      <c r="B16" s="123" t="inlineStr">
        <is>
          <t>PWHT_UNIFORM</t>
        </is>
      </c>
      <c r="C16" s="120" t="inlineStr">
        <is>
          <t>-</t>
        </is>
      </c>
      <c r="D16" s="121" t="n"/>
      <c r="E16" s="122" t="inlineStr">
        <is>
          <t>INPUT</t>
        </is>
      </c>
    </row>
    <row r="17" ht="15" customHeight="1" s="92">
      <c r="A17" s="111" t="inlineStr">
        <is>
          <t>Stress direction relative to weld</t>
        </is>
      </c>
      <c r="B17" s="123" t="inlineStr">
        <is>
          <t>PERPENDICULAR</t>
        </is>
      </c>
      <c r="C17" s="120" t="inlineStr">
        <is>
          <t>-</t>
        </is>
      </c>
      <c r="D17" s="121" t="n"/>
      <c r="E17" s="122" t="inlineStr">
        <is>
          <t>INPUT</t>
        </is>
      </c>
    </row>
    <row r="18" ht="15" customHeight="1" s="92">
      <c r="A18" s="111" t="inlineStr">
        <is>
          <t>Pressure-test credit (9D.4.2)</t>
        </is>
      </c>
      <c r="B18" s="123" t="inlineStr">
        <is>
          <t>NONE</t>
        </is>
      </c>
      <c r="C18" s="120" t="inlineStr">
        <is>
          <t>-</t>
        </is>
      </c>
      <c r="D18" s="121" t="n"/>
      <c r="E18" s="122" t="inlineStr">
        <is>
          <t>INPUT</t>
        </is>
      </c>
    </row>
    <row r="19" ht="15" customHeight="1" s="92">
      <c r="A19" s="124" t="inlineStr">
        <is>
          <t>Residual yield strength sigma_ys_r</t>
        </is>
      </c>
      <c r="B19" s="136">
        <f>IF(in_ys_basis="ACTUAL",in_actual_ys,IF(ISNUMBER(in_smys_9d),in_smys_9d,db_SMYS)+IF(UNIT_SYSTEM="SI",69,10))</f>
        <v/>
      </c>
      <c r="C19" s="120">
        <f>IF(UNIT_SYSTEM="SI","MPa","ksi")</f>
        <v/>
      </c>
      <c r="D19" s="121" t="inlineStr">
        <is>
          <t>Eq. 9D.1: SMYS + 69 MPa (SI) / + 10 ksi (FPS)</t>
        </is>
      </c>
      <c r="E19" s="126" t="inlineStr">
        <is>
          <t>CALC</t>
        </is>
      </c>
    </row>
    <row r="20" ht="15" customHeight="1" s="92">
      <c r="A20" s="124" t="inlineStr">
        <is>
          <t>Uniform PWHT stress</t>
        </is>
      </c>
      <c r="B20" s="136">
        <f>IF(in_direction="PARALLEL",0.3,0.2)*calc_sysr</f>
        <v/>
      </c>
      <c r="C20" s="120">
        <f>IF(UNIT_SYSTEM="SI","MPa","ksi")</f>
        <v/>
      </c>
      <c r="D20" s="121" t="inlineStr">
        <is>
          <t>Eq. 9D.3 (perpendicular) / 9D.4 (parallel)</t>
        </is>
      </c>
      <c r="E20" s="126" t="inlineStr">
        <is>
          <t>CALC</t>
        </is>
      </c>
    </row>
    <row r="21" ht="19.5" customHeight="1" s="92">
      <c r="A21" s="160" t="inlineStr">
        <is>
          <t>AS_WELDED PROFILE (applied as the actual through-wall profile)</t>
        </is>
      </c>
      <c r="B21" s="161" t="n"/>
      <c r="C21" s="161" t="n"/>
      <c r="D21" s="161" t="n"/>
      <c r="E21" s="161" t="n"/>
    </row>
    <row r="22" ht="15" customHeight="1" s="92">
      <c r="A22" s="111" t="inlineStr">
        <is>
          <t>As-welded profile</t>
        </is>
      </c>
      <c r="B22" s="123" t="inlineStr">
        <is>
          <t>LONGITUDINAL_SEAM_PERPENDICULAR</t>
        </is>
      </c>
      <c r="C22" s="120" t="inlineStr">
        <is>
          <t>-</t>
        </is>
      </c>
      <c r="D22" s="121" t="inlineStr">
        <is>
          <t>KPTC: conservative uniform envelope; surface crack: actual profile</t>
        </is>
      </c>
      <c r="E22" s="122" t="inlineStr">
        <is>
          <t>INPUT</t>
        </is>
      </c>
    </row>
    <row r="23" ht="15" customHeight="1" s="92">
      <c r="A23" s="111" t="inlineStr">
        <is>
          <t>Distance from weld centreline, y</t>
        </is>
      </c>
      <c r="B23" s="119" t="n">
        <v>0</v>
      </c>
      <c r="C23" s="120">
        <f>IF(UNIT_SYSTEM="SI","mm","in")</f>
        <v/>
      </c>
      <c r="D23" s="121" t="n"/>
      <c r="E23" s="122" t="inlineStr">
        <is>
          <t>INPUT</t>
        </is>
      </c>
    </row>
    <row r="24" ht="15" customHeight="1" s="92">
      <c r="A24" s="111" t="inlineStr">
        <is>
          <t>Weld width, w</t>
        </is>
      </c>
      <c r="B24" s="119">
        <f>IF(UNIT_SYSTEM="SI",20,0.78740157480315)</f>
        <v/>
      </c>
      <c r="C24" s="120">
        <f>IF(UNIT_SYSTEM="SI","mm","in")</f>
        <v/>
      </c>
      <c r="D24" s="121" t="n"/>
      <c r="E24" s="122" t="inlineStr">
        <is>
          <t>INPUT</t>
        </is>
      </c>
    </row>
    <row r="25" ht="15" customHeight="1" s="92">
      <c r="A25" s="111" t="inlineStr">
        <is>
          <t>Profile points</t>
        </is>
      </c>
      <c r="B25" s="137" t="n">
        <v>101</v>
      </c>
      <c r="C25" s="120" t="inlineStr">
        <is>
          <t>points</t>
        </is>
      </c>
      <c r="D25" s="121" t="n"/>
      <c r="E25" s="122" t="inlineStr">
        <is>
          <t>INPUT</t>
        </is>
      </c>
    </row>
  </sheetData>
  <mergeCells count="6">
    <mergeCell ref="A21:E21"/>
    <mergeCell ref="A4:E4"/>
    <mergeCell ref="A2:E2"/>
    <mergeCell ref="A1:E1"/>
    <mergeCell ref="A6:E6"/>
    <mergeCell ref="A9:E9"/>
  </mergeCells>
  <dataValidations count="9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L_RS_METHOD_S</formula1>
      <formula2>0</formula2>
    </dataValidation>
    <dataValidation sqref="B10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L_SPEC_TEXT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L_YS_BASIS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L_WELD_TYPE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L_JOINT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L_WELD_COND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L_DIRECTION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L_PT_CREDIT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L_PROFILE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595959"/>
    <outlinePr summaryBelow="1" summaryRight="1"/>
    <pageSetUpPr fitToPage="1"/>
  </sheetPr>
  <dimension ref="A1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62">
        <f>"CONTROLS  -  KPSCL1 / KPSCL2 / RPSCL  ("&amp;UNIT_SYSTEM&amp;" UNITS)"</f>
        <v/>
      </c>
    </row>
    <row r="2" ht="15" customHeight="1" s="92">
      <c r="A2" s="115" t="inlineStr">
        <is>
          <t>Numerical controls and remaining-life acceptance (paragraph 9.5.1.2 STEP 6)</t>
        </is>
      </c>
    </row>
    <row r="3" ht="15" customHeight="1" s="92">
      <c r="A3" s="163" t="inlineStr">
        <is>
          <t>Parameter</t>
        </is>
      </c>
      <c r="B3" s="163" t="inlineStr">
        <is>
          <t>Value</t>
        </is>
      </c>
      <c r="C3" s="163" t="inlineStr">
        <is>
          <t>Unit</t>
        </is>
      </c>
      <c r="D3" s="163" t="inlineStr">
        <is>
          <t>API 579 reference / note</t>
        </is>
      </c>
      <c r="E3" s="163" t="inlineStr">
        <is>
          <t>Status</t>
        </is>
      </c>
    </row>
    <row r="4" ht="19.5" customHeight="1" s="92">
      <c r="A4" s="164" t="inlineStr">
        <is>
          <t>NUMERICAL CONTROLS</t>
        </is>
      </c>
      <c r="B4" s="165" t="n"/>
      <c r="C4" s="165" t="n"/>
      <c r="D4" s="165" t="n"/>
      <c r="E4" s="165" t="n"/>
    </row>
    <row r="5" ht="15" customHeight="1" s="92">
      <c r="A5" s="111" t="inlineStr">
        <is>
          <t>Maximum cycles (guard)</t>
        </is>
      </c>
      <c r="B5" s="137" t="n">
        <v>5000000</v>
      </c>
      <c r="C5" s="120" t="inlineStr">
        <is>
          <t>cycles</t>
        </is>
      </c>
      <c r="D5" s="121" t="n"/>
      <c r="E5" s="122" t="inlineStr">
        <is>
          <t>INPUT</t>
        </is>
      </c>
    </row>
    <row r="6" ht="15" customHeight="1" s="92">
      <c r="A6" s="111" t="inlineStr">
        <is>
          <t>Maximum crack increment per step</t>
        </is>
      </c>
      <c r="B6" s="119">
        <f>IF(UNIT_SYSTEM="SI",0.02,0.00078740157480315)</f>
        <v/>
      </c>
      <c r="C6" s="120">
        <f>IF(UNIT_SYSTEM="SI","mm","in")</f>
        <v/>
      </c>
      <c r="D6" s="121" t="n"/>
      <c r="E6" s="122" t="inlineStr">
        <is>
          <t>INPUT</t>
        </is>
      </c>
    </row>
    <row r="7" ht="15" customHeight="1" s="92">
      <c r="A7" s="111" t="inlineStr">
        <is>
          <t>Critical crack bisection iterations</t>
        </is>
      </c>
      <c r="B7" s="137" t="n">
        <v>100</v>
      </c>
      <c r="C7" s="120" t="inlineStr">
        <is>
          <t>iterations</t>
        </is>
      </c>
      <c r="D7" s="121" t="n"/>
      <c r="E7" s="122" t="inlineStr">
        <is>
          <t>INPUT</t>
        </is>
      </c>
    </row>
    <row r="8" ht="15" customHeight="1" s="92">
      <c r="A8" s="111" t="inlineStr">
        <is>
          <t>SIF-vs-crack points</t>
        </is>
      </c>
      <c r="B8" s="137" t="n">
        <v>250</v>
      </c>
      <c r="C8" s="120" t="inlineStr">
        <is>
          <t>points</t>
        </is>
      </c>
      <c r="D8" s="121" t="n"/>
      <c r="E8" s="122" t="inlineStr">
        <is>
          <t>INPUT</t>
        </is>
      </c>
    </row>
    <row r="9" ht="19.5" customHeight="1" s="92">
      <c r="A9" s="164" t="inlineStr">
        <is>
          <t>REMAINING LIFE ACCEPTANCE (9.5.1.2 STEP 6)</t>
        </is>
      </c>
      <c r="B9" s="165" t="n"/>
      <c r="C9" s="165" t="n"/>
      <c r="D9" s="165" t="n"/>
      <c r="E9" s="165" t="n"/>
    </row>
    <row r="10" ht="15" customHeight="1" s="92">
      <c r="A10" s="111" t="inlineStr">
        <is>
          <t>Current flaw basis</t>
        </is>
      </c>
      <c r="B10" s="123" t="inlineStr">
        <is>
          <t>CURRENT_INSPECTED_FLAW</t>
        </is>
      </c>
      <c r="C10" s="120" t="inlineStr">
        <is>
          <t>-</t>
        </is>
      </c>
      <c r="D10" s="121" t="inlineStr">
        <is>
          <t>Remaining life is calculated from c0 to the limiting flaw size</t>
        </is>
      </c>
      <c r="E10" s="122" t="inlineStr">
        <is>
          <t>INPUT</t>
        </is>
      </c>
    </row>
    <row r="11" ht="15" customHeight="1" s="92">
      <c r="A11" s="111" t="inlineStr">
        <is>
          <t>Required remaining life (cycles)</t>
        </is>
      </c>
      <c r="B11" s="137" t="n">
        <v>100000</v>
      </c>
      <c r="C11" s="120" t="inlineStr">
        <is>
          <t>cycles</t>
        </is>
      </c>
      <c r="D11" s="121" t="inlineStr">
        <is>
          <t>9.5.1.2 STEP 6(1)</t>
        </is>
      </c>
      <c r="E11" s="122" t="inlineStr">
        <is>
          <t>INPUT</t>
        </is>
      </c>
    </row>
    <row r="12" ht="15" customHeight="1" s="92">
      <c r="A12" s="111" t="inlineStr">
        <is>
          <t>In-service life margin factor</t>
        </is>
      </c>
      <c r="B12" s="119" t="n">
        <v>2</v>
      </c>
      <c r="C12" s="120" t="inlineStr">
        <is>
          <t>-</t>
        </is>
      </c>
      <c r="D12" s="121" t="inlineStr">
        <is>
          <t>Project factor (&gt;= 1). Life must be &gt;= factor x required life; allowable service life = life / factor</t>
        </is>
      </c>
      <c r="E12" s="122" t="inlineStr">
        <is>
          <t>INPUT</t>
        </is>
      </c>
    </row>
    <row r="13" ht="15" customHeight="1" s="92">
      <c r="A13" s="124" t="inlineStr">
        <is>
          <t>Minimum calculated life for acceptance</t>
        </is>
      </c>
      <c r="B13" s="134">
        <f>in_required_life*in_life_margin</f>
        <v/>
      </c>
      <c r="C13" s="120" t="inlineStr">
        <is>
          <t>cycles</t>
        </is>
      </c>
      <c r="D13" s="121" t="inlineStr">
        <is>
          <t>factor x required life</t>
        </is>
      </c>
      <c r="E13" s="126" t="inlineStr">
        <is>
          <t>CALC</t>
        </is>
      </c>
    </row>
    <row r="14" ht="19.5" customHeight="1" s="92">
      <c r="A14" s="164" t="inlineStr">
        <is>
          <t>INSPECTION PLANNING (project basis - engineer approval required)</t>
        </is>
      </c>
      <c r="B14" s="165" t="n"/>
      <c r="C14" s="165" t="n"/>
      <c r="D14" s="165" t="n"/>
      <c r="E14" s="165" t="n"/>
    </row>
    <row r="15" ht="15" customHeight="1" s="92">
      <c r="A15" s="111" t="inlineStr">
        <is>
          <t>Inspection fraction of allowable life</t>
        </is>
      </c>
      <c r="B15" s="119" t="n">
        <v>0.5</v>
      </c>
      <c r="C15" s="120" t="inlineStr">
        <is>
          <t>fraction</t>
        </is>
      </c>
      <c r="D15" s="121" t="inlineStr">
        <is>
          <t>Illustrative project default - not an API 579 prescribed value</t>
        </is>
      </c>
      <c r="E15" s="122" t="inlineStr">
        <is>
          <t>INPUT</t>
        </is>
      </c>
    </row>
    <row r="16" ht="15" customHeight="1" s="92">
      <c r="A16" s="111" t="inlineStr">
        <is>
          <t>Inspection interval cap (blank = none)</t>
        </is>
      </c>
      <c r="B16" s="123" t="n"/>
      <c r="C16" s="120" t="inlineStr">
        <is>
          <t>cycles</t>
        </is>
      </c>
      <c r="D16" s="121" t="inlineStr">
        <is>
          <t>Optional project / code cap, cycles</t>
        </is>
      </c>
      <c r="E16" s="122" t="inlineStr">
        <is>
          <t>INPUT</t>
        </is>
      </c>
    </row>
    <row r="17" ht="15" customHeight="1" s="92">
      <c r="A17" s="111" t="inlineStr">
        <is>
          <t>Operating cycles per year (optional)</t>
        </is>
      </c>
      <c r="B17" s="123" t="n"/>
      <c r="C17" s="120" t="inlineStr">
        <is>
          <t>cycles/yr</t>
        </is>
      </c>
      <c r="D17" s="121" t="inlineStr">
        <is>
          <t>Reports lives and interval in years</t>
        </is>
      </c>
      <c r="E17" s="122" t="inlineStr">
        <is>
          <t>INPUT</t>
        </is>
      </c>
    </row>
  </sheetData>
  <mergeCells count="5">
    <mergeCell ref="A4:E4"/>
    <mergeCell ref="A2:E2"/>
    <mergeCell ref="A1:E1"/>
    <mergeCell ref="A14:E14"/>
    <mergeCell ref="A9:E9"/>
  </mergeCells>
  <dataValidations count="3"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L_FLAW_BASIS</formula1>
      <formula2>0</formula2>
    </dataValidation>
    <dataValidation sqref="B12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L_LIFE_MARGIN</formula1>
      <formula2>0</formula2>
    </dataValidation>
    <dataValidation sqref="B15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L_INSP_FRACTION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1" min="1" max="1"/>
    <col width="26" customWidth="1" style="91" min="2" max="2"/>
    <col width="13" customWidth="1" style="91" min="3" max="3"/>
    <col width="70" customWidth="1" style="91" min="4" max="4"/>
    <col width="14" customWidth="1" style="91" min="5" max="5"/>
  </cols>
  <sheetData>
    <row r="1" ht="25.5" customHeight="1" s="92">
      <c r="A1" s="145">
        <f>"LEVEL3  -  KPSCL1 / KPSCL2 / RPSCL  ("&amp;UNIT_SYSTEM&amp;" UNITS)"</f>
        <v/>
      </c>
    </row>
    <row r="2" ht="15" customHeight="1" s="92">
      <c r="A2" s="115" t="inlineStr">
        <is>
          <t>Paragraph 9.4.4 Level 3: Method A with uncertainty evaluation (9.4.4.2) and Method D ductile tearing (9.4.4.1(d))</t>
        </is>
      </c>
    </row>
    <row r="3" ht="15" customHeight="1" s="92">
      <c r="A3" s="146" t="inlineStr">
        <is>
          <t>Parameter</t>
        </is>
      </c>
      <c r="B3" s="146" t="inlineStr">
        <is>
          <t>Value</t>
        </is>
      </c>
      <c r="C3" s="146" t="inlineStr">
        <is>
          <t>Unit</t>
        </is>
      </c>
      <c r="D3" s="146" t="inlineStr">
        <is>
          <t>API 579 reference / note</t>
        </is>
      </c>
      <c r="E3" s="146" t="inlineStr">
        <is>
          <t>Status</t>
        </is>
      </c>
    </row>
    <row r="4" ht="19.5" customHeight="1" s="92">
      <c r="A4" s="147" t="inlineStr">
        <is>
          <t>METHOD A - SENSITIVITY ANALYSIS (9.4.4.2)</t>
        </is>
      </c>
      <c r="B4" s="148" t="n"/>
      <c r="C4" s="148" t="n"/>
      <c r="D4" s="148" t="n"/>
      <c r="E4" s="148" t="n"/>
    </row>
    <row r="5" ht="15" customHeight="1" s="92">
      <c r="A5" s="111" t="inlineStr">
        <is>
          <t>Method A sensitivity analysis (9.4.4.2)</t>
        </is>
      </c>
      <c r="B5" s="123" t="inlineStr">
        <is>
          <t>YES</t>
        </is>
      </c>
      <c r="C5" s="120" t="inlineStr">
        <is>
          <t>-</t>
        </is>
      </c>
      <c r="D5" s="121" t="inlineStr">
        <is>
          <t>One-at-a-time variation of each input + combined adverse case</t>
        </is>
      </c>
      <c r="E5" s="122" t="inlineStr">
        <is>
          <t>INPUT</t>
        </is>
      </c>
    </row>
    <row r="6" ht="23.85" customHeight="1" s="92">
      <c r="A6" s="146" t="inlineStr">
        <is>
          <t>Input varied (one at a time)</t>
        </is>
      </c>
      <c r="B6" s="146" t="inlineStr">
        <is>
          <t>Include</t>
        </is>
      </c>
      <c r="C6" s="146" t="inlineStr">
        <is>
          <t>Low change (%)</t>
        </is>
      </c>
      <c r="D6" s="146" t="inlineStr">
        <is>
          <t>High change (%)</t>
        </is>
      </c>
      <c r="E6" s="146" t="inlineStr">
        <is>
          <t>Status</t>
        </is>
      </c>
    </row>
    <row r="7" ht="15" customHeight="1" s="92">
      <c r="A7" s="111" t="inlineStr">
        <is>
          <t>Primary stress (Pm, Pb, pc)</t>
        </is>
      </c>
      <c r="B7" s="123" t="inlineStr">
        <is>
          <t>YES</t>
        </is>
      </c>
      <c r="C7" s="166" t="n">
        <v>-10</v>
      </c>
      <c r="D7" s="166" t="n">
        <v>10</v>
      </c>
      <c r="E7" s="122" t="inlineStr">
        <is>
          <t>INPUT</t>
        </is>
      </c>
    </row>
    <row r="8" ht="15" customHeight="1" s="92">
      <c r="A8" s="111" t="inlineStr">
        <is>
          <t>Secondary stress (Sm, Sb)</t>
        </is>
      </c>
      <c r="B8" s="123" t="inlineStr">
        <is>
          <t>YES</t>
        </is>
      </c>
      <c r="C8" s="166" t="n">
        <v>-20</v>
      </c>
      <c r="D8" s="166" t="n">
        <v>20</v>
      </c>
      <c r="E8" s="122" t="inlineStr">
        <is>
          <t>INPUT</t>
        </is>
      </c>
    </row>
    <row r="9" ht="15" customHeight="1" s="92">
      <c r="A9" s="111" t="inlineStr">
        <is>
          <t>Residual stress (Rm, Rb)</t>
        </is>
      </c>
      <c r="B9" s="123" t="inlineStr">
        <is>
          <t>YES</t>
        </is>
      </c>
      <c r="C9" s="166" t="n">
        <v>-30</v>
      </c>
      <c r="D9" s="166" t="n">
        <v>30</v>
      </c>
      <c r="E9" s="122" t="inlineStr">
        <is>
          <t>INPUT</t>
        </is>
      </c>
    </row>
    <row r="10" ht="15" customHeight="1" s="92">
      <c r="A10" s="111" t="inlineStr">
        <is>
          <t>Initial flaw size (c0 or a0)</t>
        </is>
      </c>
      <c r="B10" s="123" t="inlineStr">
        <is>
          <t>YES</t>
        </is>
      </c>
      <c r="C10" s="166" t="n">
        <v>-20</v>
      </c>
      <c r="D10" s="166" t="n">
        <v>20</v>
      </c>
      <c r="E10" s="122" t="inlineStr">
        <is>
          <t>INPUT</t>
        </is>
      </c>
    </row>
    <row r="11" ht="15" customHeight="1" s="92">
      <c r="A11" s="111" t="inlineStr">
        <is>
          <t>Fracture toughness Kmat</t>
        </is>
      </c>
      <c r="B11" s="123" t="inlineStr">
        <is>
          <t>YES</t>
        </is>
      </c>
      <c r="C11" s="166" t="n">
        <v>-20</v>
      </c>
      <c r="D11" s="166" t="n">
        <v>20</v>
      </c>
      <c r="E11" s="122" t="inlineStr">
        <is>
          <t>INPUT</t>
        </is>
      </c>
    </row>
    <row r="12" ht="15" customHeight="1" s="92">
      <c r="A12" s="111" t="inlineStr">
        <is>
          <t>Yield and tensile strength</t>
        </is>
      </c>
      <c r="B12" s="123" t="inlineStr">
        <is>
          <t>YES</t>
        </is>
      </c>
      <c r="C12" s="166" t="n">
        <v>-10</v>
      </c>
      <c r="D12" s="166" t="n">
        <v>10</v>
      </c>
      <c r="E12" s="122" t="inlineStr">
        <is>
          <t>INPUT</t>
        </is>
      </c>
    </row>
    <row r="13" ht="15" customHeight="1" s="92">
      <c r="A13" s="111" t="inlineStr">
        <is>
          <t>Crack growth rate (Paris C)</t>
        </is>
      </c>
      <c r="B13" s="123" t="inlineStr">
        <is>
          <t>YES</t>
        </is>
      </c>
      <c r="C13" s="166" t="n">
        <v>-50</v>
      </c>
      <c r="D13" s="166" t="n">
        <v>100</v>
      </c>
      <c r="E13" s="122" t="inlineStr">
        <is>
          <t>INPUT</t>
        </is>
      </c>
    </row>
    <row r="14" ht="15" customHeight="1" s="92">
      <c r="A14" s="111" t="inlineStr">
        <is>
          <t>Threshold dKth</t>
        </is>
      </c>
      <c r="B14" s="123" t="inlineStr">
        <is>
          <t>YES</t>
        </is>
      </c>
      <c r="C14" s="166" t="n">
        <v>-20</v>
      </c>
      <c r="D14" s="166" t="n">
        <v>20</v>
      </c>
      <c r="E14" s="122" t="inlineStr">
        <is>
          <t>INPUT</t>
        </is>
      </c>
    </row>
    <row r="15" ht="25.5" customHeight="1" s="92">
      <c r="A15" s="128" t="inlineStr">
        <is>
          <t>Each case repeats the full Level 2 assessment, crack growth and remaining-life check. A combined adverse case (all inputs at their adverse end) is added automatically.</t>
        </is>
      </c>
    </row>
    <row r="16" ht="19.5" customHeight="1" s="92">
      <c r="A16" s="147" t="inlineStr">
        <is>
          <t>PARTIAL SAFETY FACTOR CASE (project factors - 9.4.4.2)</t>
        </is>
      </c>
      <c r="B16" s="148" t="n"/>
      <c r="C16" s="148" t="n"/>
      <c r="D16" s="148" t="n"/>
      <c r="E16" s="148" t="n"/>
    </row>
    <row r="17" ht="15" customHeight="1" s="92">
      <c r="A17" s="111" t="inlineStr">
        <is>
          <t>Partial safety factor case (9.4.4.2)</t>
        </is>
      </c>
      <c r="B17" s="123" t="inlineStr">
        <is>
          <t>NO</t>
        </is>
      </c>
      <c r="C17" s="120" t="inlineStr">
        <is>
          <t>-</t>
        </is>
      </c>
      <c r="D17" s="121" t="inlineStr">
        <is>
          <t>Project-defined factors - API 579 2021 gives no PSF table</t>
        </is>
      </c>
      <c r="E17" s="122" t="inlineStr">
        <is>
          <t>INPUT</t>
        </is>
      </c>
    </row>
    <row r="18" ht="15" customHeight="1" s="92">
      <c r="A18" s="111" t="inlineStr">
        <is>
          <t>PSF on primary stress (multiplier)</t>
        </is>
      </c>
      <c r="B18" s="119" t="n">
        <v>1.2</v>
      </c>
      <c r="C18" s="120" t="inlineStr">
        <is>
          <t>factor</t>
        </is>
      </c>
      <c r="D18" s="121" t="inlineStr">
        <is>
          <t>Illustrative - set per project</t>
        </is>
      </c>
      <c r="E18" s="122" t="inlineStr">
        <is>
          <t>INPUT</t>
        </is>
      </c>
    </row>
    <row r="19" ht="15" customHeight="1" s="92">
      <c r="A19" s="111" t="inlineStr">
        <is>
          <t>PSF on toughness (Kmat divided by)</t>
        </is>
      </c>
      <c r="B19" s="119" t="n">
        <v>1.2</v>
      </c>
      <c r="C19" s="120" t="inlineStr">
        <is>
          <t>factor</t>
        </is>
      </c>
      <c r="D19" s="121" t="inlineStr">
        <is>
          <t>Illustrative - set per project</t>
        </is>
      </c>
      <c r="E19" s="122" t="inlineStr">
        <is>
          <t>INPUT</t>
        </is>
      </c>
    </row>
    <row r="20" ht="15" customHeight="1" s="92">
      <c r="A20" s="111" t="inlineStr">
        <is>
          <t>PSF on flaw size (c0 multiplier)</t>
        </is>
      </c>
      <c r="B20" s="119" t="n">
        <v>1.1</v>
      </c>
      <c r="C20" s="120" t="inlineStr">
        <is>
          <t>factor</t>
        </is>
      </c>
      <c r="D20" s="121" t="inlineStr">
        <is>
          <t>Illustrative - set per project</t>
        </is>
      </c>
      <c r="E20" s="122" t="inlineStr">
        <is>
          <t>INPUT</t>
        </is>
      </c>
    </row>
    <row r="21" ht="19.5" customHeight="1" s="92">
      <c r="A21" s="147" t="inlineStr">
        <is>
          <t>METHOD D - DUCTILE TEARING (9.4.4.1(d), Annex 9F.4.13)</t>
        </is>
      </c>
      <c r="B21" s="148" t="n"/>
      <c r="C21" s="148" t="n"/>
      <c r="D21" s="148" t="n"/>
      <c r="E21" s="148" t="n"/>
    </row>
    <row r="22" ht="15" customHeight="1" s="92">
      <c r="A22" s="111" t="inlineStr">
        <is>
          <t>Method D ductile tearing analysis (9.4.4.1(d))</t>
        </is>
      </c>
      <c r="B22" s="123" t="inlineStr">
        <is>
          <t>YES</t>
        </is>
      </c>
      <c r="C22" s="120" t="inlineStr">
        <is>
          <t>-</t>
        </is>
      </c>
      <c r="D22" s="121" t="inlineStr">
        <is>
          <t>Only for materials with stable ductile tearing (upper-shelf ferritic, austenitic)</t>
        </is>
      </c>
      <c r="E22" s="122" t="inlineStr">
        <is>
          <t>INPUT</t>
        </is>
      </c>
    </row>
    <row r="23" ht="22.35" customHeight="1" s="92">
      <c r="A23" s="111" t="inlineStr">
        <is>
          <t>J-R curve source</t>
        </is>
      </c>
      <c r="B23" s="123" t="inlineStr">
        <is>
          <t>TABLE_9F3</t>
        </is>
      </c>
      <c r="C23" s="120" t="inlineStr">
        <is>
          <t>-</t>
        </is>
      </c>
      <c r="D23" s="121" t="inlineStr">
        <is>
          <t>TABLE_9F3 (typical data), CVN_9F130 (Eqs. 9F.130-9F.133) or PROJECT (approved test data)</t>
        </is>
      </c>
      <c r="E23" s="122" t="inlineStr">
        <is>
          <t>INPUT</t>
        </is>
      </c>
    </row>
    <row r="24" ht="15" customHeight="1" s="92">
      <c r="A24" s="111" t="inlineStr">
        <is>
          <t>Table 9F.3 material record</t>
        </is>
      </c>
      <c r="B24" s="123" t="inlineStr">
        <is>
          <t>GENERIC_CS-1</t>
        </is>
      </c>
      <c r="C24" s="120" t="inlineStr">
        <is>
          <t>-</t>
        </is>
      </c>
      <c r="D24" s="121" t="inlineStr">
        <is>
          <t>Typical values - actual data preferred</t>
        </is>
      </c>
      <c r="E24" s="122" t="inlineStr">
        <is>
          <t>INPUT</t>
        </is>
      </c>
    </row>
    <row r="25" ht="15" customHeight="1" s="92">
      <c r="A25" s="111" t="inlineStr">
        <is>
          <t>Upper-shelf Charpy energy (CVN_9F130)</t>
        </is>
      </c>
      <c r="B25" s="137">
        <f>IF(UNIT_SYSTEM="SI",100,73.7562149277266)</f>
        <v/>
      </c>
      <c r="C25" s="120">
        <f>IF(UNIT_SYSTEM="SI","J","ft-lb")</f>
        <v/>
      </c>
      <c r="D25" s="121" t="n"/>
      <c r="E25" s="122" t="inlineStr">
        <is>
          <t>INPUT</t>
        </is>
      </c>
    </row>
    <row r="26" ht="15" customHeight="1" s="92">
      <c r="A26" s="111" t="inlineStr">
        <is>
          <t>J1mm basis (CVN_9F130)</t>
        </is>
      </c>
      <c r="B26" s="123" t="inlineStr">
        <is>
          <t>LOWER</t>
        </is>
      </c>
      <c r="C26" s="120" t="inlineStr">
        <is>
          <t>-</t>
        </is>
      </c>
      <c r="D26" s="121" t="inlineStr">
        <is>
          <t>Eq. 9F.88 (lower) or 9F.86 (median)</t>
        </is>
      </c>
      <c r="E26" s="122" t="inlineStr">
        <is>
          <t>INPUT</t>
        </is>
      </c>
    </row>
    <row r="27" ht="15" customHeight="1" s="92">
      <c r="A27" s="111" t="inlineStr">
        <is>
          <t>Project J-R coefficient C_R</t>
        </is>
      </c>
      <c r="B27" s="123" t="n"/>
      <c r="C27" s="120">
        <f>IF(UNIT_SYSTEM="SI","kJ/m² per mmⁿ","in-lb/in² per inⁿ")</f>
        <v/>
      </c>
      <c r="D27" s="121" t="inlineStr">
        <is>
          <t>J_R = C_R (da)^nR</t>
        </is>
      </c>
      <c r="E27" s="122" t="inlineStr">
        <is>
          <t>INPUT</t>
        </is>
      </c>
    </row>
    <row r="28" ht="15" customHeight="1" s="92">
      <c r="A28" s="111" t="inlineStr">
        <is>
          <t>Project J-R exponent nR</t>
        </is>
      </c>
      <c r="B28" s="123" t="n"/>
      <c r="C28" s="120" t="inlineStr">
        <is>
          <t>-</t>
        </is>
      </c>
      <c r="D28" s="121" t="n"/>
      <c r="E28" s="122" t="inlineStr">
        <is>
          <t>INPUT</t>
        </is>
      </c>
    </row>
    <row r="29" ht="15" customHeight="1" s="92">
      <c r="A29" s="111" t="inlineStr">
        <is>
          <t>Maximum tearing extension da</t>
        </is>
      </c>
      <c r="B29" s="119">
        <f>IF(UNIT_SYSTEM="SI",3,0.118110236220472)</f>
        <v/>
      </c>
      <c r="C29" s="120">
        <f>IF(UNIT_SYSTEM="SI","mm","in")</f>
        <v/>
      </c>
      <c r="D29" s="121" t="inlineStr">
        <is>
          <t>Keep within the valid range of the J-R data</t>
        </is>
      </c>
      <c r="E29" s="122" t="inlineStr">
        <is>
          <t>INPUT</t>
        </is>
      </c>
    </row>
    <row r="30" ht="15" customHeight="1" s="92">
      <c r="A30" s="111" t="inlineStr">
        <is>
          <t>Number of tearing points</t>
        </is>
      </c>
      <c r="B30" s="119" t="n">
        <v>60</v>
      </c>
      <c r="C30" s="120" t="inlineStr">
        <is>
          <t>points</t>
        </is>
      </c>
      <c r="D30" s="121" t="n"/>
      <c r="E30" s="122" t="inlineStr">
        <is>
          <t>INPUT</t>
        </is>
      </c>
    </row>
    <row r="31" ht="15" customHeight="1" s="92">
      <c r="A31" s="111" t="inlineStr">
        <is>
          <t>Maximum load factor searched</t>
        </is>
      </c>
      <c r="B31" s="119" t="n">
        <v>5</v>
      </c>
      <c r="C31" s="120" t="inlineStr">
        <is>
          <t>factor</t>
        </is>
      </c>
      <c r="D31" s="121" t="inlineStr">
        <is>
          <t>Primary-load factor range for the instability search</t>
        </is>
      </c>
      <c r="E31" s="122" t="inlineStr">
        <is>
          <t>INPUT</t>
        </is>
      </c>
    </row>
    <row r="32" ht="15" customHeight="1" s="92">
      <c r="A32" s="124" t="inlineStr">
        <is>
          <t>Table 9F.3 record - material</t>
        </is>
      </c>
      <c r="B32" s="127">
        <f>IFERROR(INDEX(DB_JR_Curves!$B:$B,MATCH(in_jr_record,DB_JR_Curves!$A:$A,0)),"")</f>
        <v/>
      </c>
      <c r="C32" s="120" t="n"/>
      <c r="D32" s="121" t="inlineStr">
        <is>
          <t>Used when J-R source = TABLE_9F3</t>
        </is>
      </c>
      <c r="E32" s="126" t="inlineStr">
        <is>
          <t>CALC</t>
        </is>
      </c>
    </row>
    <row r="33" ht="15" customHeight="1" s="92">
      <c r="A33" s="124" t="inlineStr">
        <is>
          <t>Record test temperature</t>
        </is>
      </c>
      <c r="B33" s="144">
        <f>IFERROR(INDEX(DB_JR_Curves!$C:$C,MATCH(in_jr_record,DB_JR_Curves!$A:$A,0)),"")</f>
        <v/>
      </c>
      <c r="C33" s="120">
        <f>IF(UNIT_SYSTEM="SI","°C","°F")</f>
        <v/>
      </c>
      <c r="D33" s="121" t="inlineStr">
        <is>
          <t>Used when J-R source = TABLE_9F3</t>
        </is>
      </c>
      <c r="E33" s="126" t="inlineStr">
        <is>
          <t>CALC</t>
        </is>
      </c>
    </row>
    <row r="34" ht="15" customHeight="1" s="92">
      <c r="A34" s="124" t="inlineStr">
        <is>
          <t>Record thickness</t>
        </is>
      </c>
      <c r="B34" s="136">
        <f>IFERROR(INDEX(DB_JR_Curves!$D:$D,MATCH(in_jr_record,DB_JR_Curves!$A:$A,0)),"")</f>
        <v/>
      </c>
      <c r="C34" s="120">
        <f>IF(UNIT_SYSTEM="SI","mm","in")</f>
        <v/>
      </c>
      <c r="D34" s="121" t="inlineStr">
        <is>
          <t>Used when J-R source = TABLE_9F3</t>
        </is>
      </c>
      <c r="E34" s="126" t="inlineStr">
        <is>
          <t>CALC</t>
        </is>
      </c>
    </row>
    <row r="35" ht="15" customHeight="1" s="92">
      <c r="A35" s="124" t="inlineStr">
        <is>
          <t>Initiation toughness Ji</t>
        </is>
      </c>
      <c r="B35" s="144">
        <f>IFERROR(INDEX(DB_JR_Curves!$E:$E,MATCH(in_jr_record,DB_JR_Curves!$A:$A,0)),"")</f>
        <v/>
      </c>
      <c r="C35" s="120">
        <f>IF(UNIT_SYSTEM="SI","kJ/m²","in-lb/in²")</f>
        <v/>
      </c>
      <c r="D35" s="121" t="inlineStr">
        <is>
          <t>Used when J-R source = TABLE_9F3</t>
        </is>
      </c>
      <c r="E35" s="126" t="inlineStr">
        <is>
          <t>CALC</t>
        </is>
      </c>
    </row>
    <row r="36" ht="15" customHeight="1" s="92">
      <c r="A36" s="124" t="inlineStr">
        <is>
          <t>Coefficient C_R</t>
        </is>
      </c>
      <c r="B36" s="144">
        <f>IFERROR(INDEX(DB_JR_Curves!$F:$F,MATCH(in_jr_record,DB_JR_Curves!$A:$A,0)),"")</f>
        <v/>
      </c>
      <c r="C36" s="120">
        <f>IF(UNIT_SYSTEM="SI","kJ/m² per mmⁿ","in-lb/in² per inⁿ")</f>
        <v/>
      </c>
      <c r="D36" s="121" t="inlineStr">
        <is>
          <t>Used when J-R source = TABLE_9F3</t>
        </is>
      </c>
      <c r="E36" s="126" t="inlineStr">
        <is>
          <t>CALC</t>
        </is>
      </c>
    </row>
    <row r="37" ht="15" customHeight="1" s="92">
      <c r="A37" s="124" t="inlineStr">
        <is>
          <t>Exponent nR</t>
        </is>
      </c>
      <c r="B37" s="150">
        <f>IFERROR(INDEX(DB_JR_Curves!$G:$G,MATCH(in_jr_record,DB_JR_Curves!$A:$A,0)),"")</f>
        <v/>
      </c>
      <c r="C37" s="120" t="inlineStr">
        <is>
          <t>-</t>
        </is>
      </c>
      <c r="D37" s="121" t="inlineStr">
        <is>
          <t>Used when J-R source = TABLE_9F3</t>
        </is>
      </c>
      <c r="E37" s="126" t="inlineStr">
        <is>
          <t>CALC</t>
        </is>
      </c>
    </row>
    <row r="38" ht="27.75" customHeight="1" s="92">
      <c r="A38" s="101" t="inlineStr">
        <is>
          <t>Method D is valid only for materials that tear in a stable ductile manner (ferritic steels on the upper shelf, austenitic stainless steels). Table 9F.3 data are typical values - use actual J-R test data when available.</t>
        </is>
      </c>
    </row>
  </sheetData>
  <mergeCells count="7">
    <mergeCell ref="A21:E21"/>
    <mergeCell ref="A4:E4"/>
    <mergeCell ref="A38:E38"/>
    <mergeCell ref="A16:E16"/>
    <mergeCell ref="A2:E2"/>
    <mergeCell ref="A15:E15"/>
    <mergeCell ref="A1:E1"/>
  </mergeCells>
  <dataValidations count="1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9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3" showDropDown="0" showInputMessage="1" showErrorMessage="1" allowBlank="1" errorTitle="ATLAS input" error="Select a value from the drop-down list" promptTitle="ATLAS" prompt="Select from the list" type="list" errorStyle="stop" operator="between">
      <formula1>L_JR_SOURCE</formula1>
      <formula2>0</formula2>
    </dataValidation>
    <dataValidation sqref="B24" showDropDown="0" showInputMessage="1" showErrorMessage="1" allowBlank="1" errorTitle="ATLAS input" error="Select a value from the drop-down list" promptTitle="ATLAS" prompt="Select from the list" type="list" errorStyle="stop" operator="between">
      <formula1>L_JR_IDS</formula1>
      <formula2>0</formula2>
    </dataValidation>
    <dataValidation sqref="B26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A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91" min="1" max="1"/>
    <col width="17" customWidth="1" style="91" min="2" max="2"/>
    <col width="12" customWidth="1" style="91" min="3" max="3"/>
    <col width="16" customWidth="1" style="91" min="4" max="4"/>
    <col width="13" customWidth="1" style="91" min="5" max="5"/>
    <col width="18" customWidth="1" style="91" min="6" max="6"/>
    <col width="26" customWidth="1" style="91" min="7" max="9"/>
    <col width="19" customWidth="1" style="91" min="10" max="10"/>
    <col width="18" customWidth="1" style="91" min="11" max="11"/>
    <col width="24" customWidth="1" style="91" min="12" max="12"/>
    <col width="28" customWidth="1" style="91" min="13" max="13"/>
    <col width="26" customWidth="1" style="91" min="14" max="15"/>
    <col width="12" customWidth="1" style="91" min="16" max="16"/>
    <col width="26" customWidth="1" style="91" min="17" max="17"/>
    <col width="14" customWidth="1" style="91" min="18" max="18"/>
    <col width="12" customWidth="1" style="91" min="19" max="19"/>
    <col hidden="1" width="21" customWidth="1" style="91" min="20" max="23"/>
    <col hidden="1" width="18" customWidth="1" style="91" min="24" max="25"/>
    <col hidden="1" width="28" customWidth="1" style="91" min="26" max="26"/>
    <col hidden="1" width="29" customWidth="1" style="91" min="27" max="29"/>
    <col hidden="1" width="28" customWidth="1" style="91" min="30" max="30"/>
    <col hidden="1" width="29" customWidth="1" style="91" min="31" max="31"/>
  </cols>
  <sheetData>
    <row r="1" ht="30" customHeight="1" s="92">
      <c r="A1" s="167" t="inlineStr">
        <is>
          <t>material_id</t>
        </is>
      </c>
      <c r="B1" s="167" t="inlineStr">
        <is>
          <t>specification</t>
        </is>
      </c>
      <c r="C1" s="167" t="inlineStr">
        <is>
          <t>grade</t>
        </is>
      </c>
      <c r="D1" s="167" t="inlineStr">
        <is>
          <t>product_form</t>
        </is>
      </c>
      <c r="E1" s="167" t="inlineStr">
        <is>
          <t>condition</t>
        </is>
      </c>
      <c r="F1" s="167" t="inlineStr">
        <is>
          <t>material_class</t>
        </is>
      </c>
      <c r="G1" s="167">
        <f>IF(UNIT_SYSTEM="SI","SMYS (MPa)","SMYS (ksi)")</f>
        <v/>
      </c>
      <c r="H1" s="167">
        <f>IF(UNIT_SYSTEM="SI","SMTS (MPa)","SMTS (ksi)")</f>
        <v/>
      </c>
      <c r="I1" s="167">
        <f>IF(UNIT_SYSTEM="SI","E (MPa)","E (ksi)")</f>
        <v/>
      </c>
      <c r="J1" s="167" t="inlineStr">
        <is>
          <t>exemption_curve</t>
        </is>
      </c>
      <c r="K1" s="167" t="inlineStr">
        <is>
          <t>lrmax_category</t>
        </is>
      </c>
      <c r="L1" s="167" t="inlineStr">
        <is>
          <t>default_growth_model</t>
        </is>
      </c>
      <c r="M1" s="167" t="inlineStr">
        <is>
          <t>default_toughness_method</t>
        </is>
      </c>
      <c r="N1" s="167">
        <f>IF(UNIT_SYSTEM="SI","Kmat (MPa√m)","Kmat (ksi√in)")</f>
        <v/>
      </c>
      <c r="O1" s="167">
        <f>IF(UNIT_SYSTEM="SI","Paris C (mm/cycle)","Paris C (in/cycle)")</f>
        <v/>
      </c>
      <c r="P1" s="167" t="inlineStr">
        <is>
          <t>Paris n</t>
        </is>
      </c>
      <c r="Q1" s="167">
        <f>IF(UNIT_SYSTEM="SI","dKth (MPa√m)","dKth (ksi√in)")</f>
        <v/>
      </c>
      <c r="R1" s="167" t="inlineStr">
        <is>
          <t>constraint</t>
        </is>
      </c>
      <c r="S1" s="167" t="inlineStr">
        <is>
          <t>note</t>
        </is>
      </c>
      <c r="T1" s="168" t="inlineStr">
        <is>
          <t>SMYS_MPa (source)</t>
        </is>
      </c>
      <c r="U1" s="168" t="inlineStr">
        <is>
          <t>SMYS_ksi (source)</t>
        </is>
      </c>
      <c r="V1" s="168" t="inlineStr">
        <is>
          <t>SMTS_MPa (source)</t>
        </is>
      </c>
      <c r="W1" s="168" t="inlineStr">
        <is>
          <t>SMTS_ksi (source)</t>
        </is>
      </c>
      <c r="X1" s="168" t="inlineStr">
        <is>
          <t>E_MPa (source)</t>
        </is>
      </c>
      <c r="Y1" s="168" t="inlineStr">
        <is>
          <t>E_ksi (source)</t>
        </is>
      </c>
      <c r="Z1" s="168" t="inlineStr">
        <is>
          <t>Kmat_MPa_sqrt_m (source)</t>
        </is>
      </c>
      <c r="AA1" s="168" t="inlineStr">
        <is>
          <t>Kmat_ksi_sqrt_in (source)</t>
        </is>
      </c>
      <c r="AB1" s="168" t="inlineStr">
        <is>
          <t>paris_C_mm_cycle (source)</t>
        </is>
      </c>
      <c r="AC1" s="168" t="inlineStr">
        <is>
          <t>paris_C_in_cycle (source)</t>
        </is>
      </c>
      <c r="AD1" s="168" t="inlineStr">
        <is>
          <t>dKth_MPa_sqrt_m (source)</t>
        </is>
      </c>
      <c r="AE1" s="168" t="inlineStr">
        <is>
          <t>dKth_ksi_sqrt_in (source)</t>
        </is>
      </c>
    </row>
    <row r="2" ht="15" customHeight="1" s="92">
      <c r="A2" s="169" t="inlineStr">
        <is>
          <t>REFERENCE_CS_350</t>
        </is>
      </c>
      <c r="B2" s="169" t="inlineStr">
        <is>
          <t>REFERENCE</t>
        </is>
      </c>
      <c r="C2" s="169" t="inlineStr">
        <is>
          <t>350 MPa yield</t>
        </is>
      </c>
      <c r="D2" s="169" t="inlineStr">
        <is>
          <t>Generic</t>
        </is>
      </c>
      <c r="E2" s="169" t="inlineStr">
        <is>
          <t>-</t>
        </is>
      </c>
      <c r="F2" s="169" t="inlineStr">
        <is>
          <t>REFERENCE</t>
        </is>
      </c>
      <c r="G2" s="170">
        <f>IF(UNIT_SYSTEM="SI",IF(T2="","",T2),IF(U2="","",U2))</f>
        <v/>
      </c>
      <c r="H2" s="170">
        <f>IF(UNIT_SYSTEM="SI",IF(V2="","",V2),IF(W2="","",W2))</f>
        <v/>
      </c>
      <c r="I2" s="170">
        <f>IF(UNIT_SYSTEM="SI",IF(X2="","",X2),IF(Y2="","",Y2))</f>
        <v/>
      </c>
      <c r="J2" s="169" t="inlineStr">
        <is>
          <t>N/A</t>
        </is>
      </c>
      <c r="K2" s="169" t="inlineStr">
        <is>
          <t>FLOW_STRESS</t>
        </is>
      </c>
      <c r="L2" s="169" t="inlineStr">
        <is>
          <t>PROJECT_MATERIAL_DATA</t>
        </is>
      </c>
      <c r="M2" s="169" t="inlineStr">
        <is>
          <t>PROJECT_KMAT</t>
        </is>
      </c>
      <c r="N2" s="170">
        <f>IF(UNIT_SYSTEM="SI",IF(Z2="","",Z2),IF(AA2="","",AA2))</f>
        <v/>
      </c>
      <c r="O2" s="171">
        <f>IF(UNIT_SYSTEM="SI",IF(AB2="","",AB2),IF(AC2="","",AC2))</f>
        <v/>
      </c>
      <c r="P2" s="172" t="n">
        <v>3</v>
      </c>
      <c r="Q2" s="172">
        <f>IF(UNIT_SYSTEM="SI",IF(AD2="","",AD2),IF(AE2="","",AE2))</f>
        <v/>
      </c>
      <c r="R2" s="169" t="inlineStr">
        <is>
          <t>plane_strain</t>
        </is>
      </c>
      <c r="S2" s="169" t="inlineStr">
        <is>
          <t>ATLAS KPTC regression dataset (R1-R7 baseline). Not a material specification. FPS values are exact conversions.</t>
        </is>
      </c>
      <c r="T2" s="173" t="n">
        <v>350</v>
      </c>
      <c r="U2" s="174" t="n">
        <v>50.7632082055732</v>
      </c>
      <c r="V2" s="173" t="n">
        <v>500</v>
      </c>
      <c r="W2" s="174" t="n">
        <v>72.51886886510459</v>
      </c>
      <c r="X2" s="173" t="n">
        <v>200000</v>
      </c>
      <c r="Y2" s="175" t="n">
        <v>29007.5475460419</v>
      </c>
      <c r="Z2" s="173" t="n">
        <v>100</v>
      </c>
      <c r="AA2" s="174" t="n">
        <v>91.0047705029255</v>
      </c>
      <c r="AB2" s="176" t="n">
        <v>2e-09</v>
      </c>
      <c r="AC2" s="176" t="n">
        <v>1.04472936680105e-10</v>
      </c>
      <c r="AD2" s="174" t="n">
        <v>5</v>
      </c>
      <c r="AE2" s="174" t="n">
        <v>4.55023852514628</v>
      </c>
    </row>
    <row r="3" ht="15" customHeight="1" s="92">
      <c r="A3" s="177" t="inlineStr">
        <is>
          <t>SA-36</t>
        </is>
      </c>
      <c r="B3" s="177" t="inlineStr">
        <is>
          <t>SA-36</t>
        </is>
      </c>
      <c r="C3" s="177" t="inlineStr">
        <is>
          <t>-</t>
        </is>
      </c>
      <c r="D3" s="177" t="inlineStr">
        <is>
          <t>Plate/shape</t>
        </is>
      </c>
      <c r="E3" s="177" t="inlineStr">
        <is>
          <t>As-rolled</t>
        </is>
      </c>
      <c r="F3" s="177" t="inlineStr">
        <is>
          <t>CARBON_STEEL</t>
        </is>
      </c>
      <c r="G3" s="178">
        <f>IF(UNIT_SYSTEM="SI",IF(T3="","",T3),IF(U3="","",U3))</f>
        <v/>
      </c>
      <c r="H3" s="178">
        <f>IF(UNIT_SYSTEM="SI",IF(V3="","",V3),IF(W3="","",W3))</f>
        <v/>
      </c>
      <c r="I3" s="178">
        <f>IF(UNIT_SYSTEM="SI",IF(X3="","",X3),IF(Y3="","",Y3))</f>
        <v/>
      </c>
      <c r="J3" s="177" t="inlineStr">
        <is>
          <t>A</t>
        </is>
      </c>
      <c r="K3" s="177" t="inlineStr">
        <is>
          <t>C_MN_STEEL</t>
        </is>
      </c>
      <c r="L3" s="177" t="inlineStr">
        <is>
          <t>9F4M_FERRITIC_PEARLITE_AIR</t>
        </is>
      </c>
      <c r="M3" s="177" t="inlineStr">
        <is>
          <t>9F42_ASME_XI_LOWER</t>
        </is>
      </c>
      <c r="N3" s="177">
        <f>IF(UNIT_SYSTEM="SI",IF(Z3="","",Z3),IF(AA3="","",AA3))</f>
        <v/>
      </c>
      <c r="O3" s="177">
        <f>IF(UNIT_SYSTEM="SI",IF(AB3="","",AB3),IF(AC3="","",AC3))</f>
        <v/>
      </c>
      <c r="P3" s="177" t="n"/>
      <c r="Q3" s="177">
        <f>IF(UNIT_SYSTEM="SI",IF(AD3="","",AD3),IF(AE3="","",AE3))</f>
        <v/>
      </c>
      <c r="R3" s="177" t="inlineStr">
        <is>
          <t>Exemption curve per API 579 Part 3 Table 3.2 (plates/shapes not listed -&gt; A)</t>
        </is>
      </c>
      <c r="S3" s="177" t="n"/>
      <c r="T3" s="179" t="n">
        <v>250</v>
      </c>
      <c r="U3" s="180" t="n">
        <v>36</v>
      </c>
      <c r="V3" s="179" t="n">
        <v>400</v>
      </c>
      <c r="W3" s="180" t="n">
        <v>58</v>
      </c>
      <c r="X3" s="179" t="n">
        <v>200000</v>
      </c>
      <c r="Y3" s="181" t="n">
        <v>29007.5</v>
      </c>
      <c r="Z3" s="182" t="n"/>
      <c r="AA3" s="182" t="n"/>
      <c r="AB3" s="182" t="n"/>
      <c r="AC3" s="182" t="n"/>
      <c r="AD3" s="182" t="n"/>
      <c r="AE3" s="182" t="inlineStr">
        <is>
          <t>plane_strain</t>
        </is>
      </c>
    </row>
    <row r="4" ht="15" customHeight="1" s="92">
      <c r="A4" s="169" t="inlineStr">
        <is>
          <t>SA-285-C</t>
        </is>
      </c>
      <c r="B4" s="169" t="inlineStr">
        <is>
          <t>SA-285</t>
        </is>
      </c>
      <c r="C4" s="169" t="inlineStr">
        <is>
          <t>Gr C</t>
        </is>
      </c>
      <c r="D4" s="169" t="inlineStr">
        <is>
          <t>Plate</t>
        </is>
      </c>
      <c r="E4" s="169" t="inlineStr">
        <is>
          <t>As-rolled</t>
        </is>
      </c>
      <c r="F4" s="169" t="inlineStr">
        <is>
          <t>CARBON_STEEL</t>
        </is>
      </c>
      <c r="G4" s="170">
        <f>IF(UNIT_SYSTEM="SI",IF(T4="","",T4),IF(U4="","",U4))</f>
        <v/>
      </c>
      <c r="H4" s="170">
        <f>IF(UNIT_SYSTEM="SI",IF(V4="","",V4),IF(W4="","",W4))</f>
        <v/>
      </c>
      <c r="I4" s="170">
        <f>IF(UNIT_SYSTEM="SI",IF(X4="","",X4),IF(Y4="","",Y4))</f>
        <v/>
      </c>
      <c r="J4" s="169" t="inlineStr">
        <is>
          <t>A</t>
        </is>
      </c>
      <c r="K4" s="169" t="inlineStr">
        <is>
          <t>C_MN_STEEL</t>
        </is>
      </c>
      <c r="L4" s="169" t="inlineStr">
        <is>
          <t>9F4M_FERRITIC_PEARLITE_AIR</t>
        </is>
      </c>
      <c r="M4" s="169" t="inlineStr">
        <is>
          <t>9F42_ASME_XI_LOWER</t>
        </is>
      </c>
      <c r="N4" s="169">
        <f>IF(UNIT_SYSTEM="SI",IF(Z4="","",Z4),IF(AA4="","",AA4))</f>
        <v/>
      </c>
      <c r="O4" s="169">
        <f>IF(UNIT_SYSTEM="SI",IF(AB4="","",AB4),IF(AC4="","",AC4))</f>
        <v/>
      </c>
      <c r="P4" s="169" t="n"/>
      <c r="Q4" s="169">
        <f>IF(UNIT_SYSTEM="SI",IF(AD4="","",AD4),IF(AE4="","",AE4))</f>
        <v/>
      </c>
      <c r="R4" s="169" t="inlineStr">
        <is>
          <t>Exemption curve per API 579 Part 3 Table 3.2 (Gr A/B are Curve B; Gr C not listed -&gt; A)</t>
        </is>
      </c>
      <c r="S4" s="169" t="n"/>
      <c r="T4" s="173" t="n">
        <v>205</v>
      </c>
      <c r="U4" s="174" t="n">
        <v>30</v>
      </c>
      <c r="V4" s="173" t="n">
        <v>380</v>
      </c>
      <c r="W4" s="174" t="n">
        <v>55</v>
      </c>
      <c r="X4" s="173" t="n">
        <v>200000</v>
      </c>
      <c r="Y4" s="175" t="n">
        <v>29007.5</v>
      </c>
      <c r="Z4" s="183" t="n"/>
      <c r="AA4" s="183" t="n"/>
      <c r="AB4" s="183" t="n"/>
      <c r="AC4" s="183" t="n"/>
      <c r="AD4" s="183" t="n"/>
      <c r="AE4" s="183" t="inlineStr">
        <is>
          <t>plane_strain</t>
        </is>
      </c>
    </row>
    <row r="5" ht="15" customHeight="1" s="92">
      <c r="A5" s="177" t="inlineStr">
        <is>
          <t>SA-515-60</t>
        </is>
      </c>
      <c r="B5" s="177" t="inlineStr">
        <is>
          <t>SA-515</t>
        </is>
      </c>
      <c r="C5" s="177" t="inlineStr">
        <is>
          <t>Gr 60</t>
        </is>
      </c>
      <c r="D5" s="177" t="inlineStr">
        <is>
          <t>Plate</t>
        </is>
      </c>
      <c r="E5" s="177" t="inlineStr">
        <is>
          <t>As-rolled</t>
        </is>
      </c>
      <c r="F5" s="177" t="inlineStr">
        <is>
          <t>CARBON_STEEL</t>
        </is>
      </c>
      <c r="G5" s="178">
        <f>IF(UNIT_SYSTEM="SI",IF(T5="","",T5),IF(U5="","",U5))</f>
        <v/>
      </c>
      <c r="H5" s="178">
        <f>IF(UNIT_SYSTEM="SI",IF(V5="","",V5),IF(W5="","",W5))</f>
        <v/>
      </c>
      <c r="I5" s="178">
        <f>IF(UNIT_SYSTEM="SI",IF(X5="","",X5),IF(Y5="","",Y5))</f>
        <v/>
      </c>
      <c r="J5" s="177" t="inlineStr">
        <is>
          <t>B</t>
        </is>
      </c>
      <c r="K5" s="177" t="inlineStr">
        <is>
          <t>C_MN_STEEL</t>
        </is>
      </c>
      <c r="L5" s="177" t="inlineStr">
        <is>
          <t>9F4M_FERRITIC_PEARLITE_AIR</t>
        </is>
      </c>
      <c r="M5" s="177" t="inlineStr">
        <is>
          <t>9F42_ASME_XI_LOWER</t>
        </is>
      </c>
      <c r="N5" s="177">
        <f>IF(UNIT_SYSTEM="SI",IF(Z5="","",Z5),IF(AA5="","",AA5))</f>
        <v/>
      </c>
      <c r="O5" s="177">
        <f>IF(UNIT_SYSTEM="SI",IF(AB5="","",AB5),IF(AC5="","",AC5))</f>
        <v/>
      </c>
      <c r="P5" s="177" t="n"/>
      <c r="Q5" s="177">
        <f>IF(UNIT_SYSTEM="SI",IF(AD5="","",AD5),IF(AE5="","",AE5))</f>
        <v/>
      </c>
      <c r="R5" s="177" t="inlineStr">
        <is>
          <t>Exemption curve per API 579 Part 3 Table 3.2</t>
        </is>
      </c>
      <c r="S5" s="177" t="n"/>
      <c r="T5" s="179" t="n">
        <v>220</v>
      </c>
      <c r="U5" s="180" t="n">
        <v>32</v>
      </c>
      <c r="V5" s="179" t="n">
        <v>415</v>
      </c>
      <c r="W5" s="180" t="n">
        <v>60</v>
      </c>
      <c r="X5" s="179" t="n">
        <v>200000</v>
      </c>
      <c r="Y5" s="181" t="n">
        <v>29007.5</v>
      </c>
      <c r="Z5" s="182" t="n"/>
      <c r="AA5" s="182" t="n"/>
      <c r="AB5" s="182" t="n"/>
      <c r="AC5" s="182" t="n"/>
      <c r="AD5" s="182" t="n"/>
      <c r="AE5" s="182" t="inlineStr">
        <is>
          <t>plane_strain</t>
        </is>
      </c>
    </row>
    <row r="6" ht="15" customHeight="1" s="92">
      <c r="A6" s="169" t="inlineStr">
        <is>
          <t>SA-515-70</t>
        </is>
      </c>
      <c r="B6" s="169" t="inlineStr">
        <is>
          <t>SA-515</t>
        </is>
      </c>
      <c r="C6" s="169" t="inlineStr">
        <is>
          <t>Gr 70</t>
        </is>
      </c>
      <c r="D6" s="169" t="inlineStr">
        <is>
          <t>Plate</t>
        </is>
      </c>
      <c r="E6" s="169" t="inlineStr">
        <is>
          <t>As-rolled</t>
        </is>
      </c>
      <c r="F6" s="169" t="inlineStr">
        <is>
          <t>CARBON_STEEL</t>
        </is>
      </c>
      <c r="G6" s="170">
        <f>IF(UNIT_SYSTEM="SI",IF(T6="","",T6),IF(U6="","",U6))</f>
        <v/>
      </c>
      <c r="H6" s="170">
        <f>IF(UNIT_SYSTEM="SI",IF(V6="","",V6),IF(W6="","",W6))</f>
        <v/>
      </c>
      <c r="I6" s="170">
        <f>IF(UNIT_SYSTEM="SI",IF(X6="","",X6),IF(Y6="","",Y6))</f>
        <v/>
      </c>
      <c r="J6" s="169" t="inlineStr">
        <is>
          <t>A</t>
        </is>
      </c>
      <c r="K6" s="169" t="inlineStr">
        <is>
          <t>C_MN_STEEL</t>
        </is>
      </c>
      <c r="L6" s="169" t="inlineStr">
        <is>
          <t>9F4M_FERRITIC_PEARLITE_AIR</t>
        </is>
      </c>
      <c r="M6" s="169" t="inlineStr">
        <is>
          <t>9F42_ASME_XI_LOWER</t>
        </is>
      </c>
      <c r="N6" s="169">
        <f>IF(UNIT_SYSTEM="SI",IF(Z6="","",Z6),IF(AA6="","",AA6))</f>
        <v/>
      </c>
      <c r="O6" s="169">
        <f>IF(UNIT_SYSTEM="SI",IF(AB6="","",AB6),IF(AC6="","",AC6))</f>
        <v/>
      </c>
      <c r="P6" s="169" t="n"/>
      <c r="Q6" s="169">
        <f>IF(UNIT_SYSTEM="SI",IF(AD6="","",AD6),IF(AE6="","",AE6))</f>
        <v/>
      </c>
      <c r="R6" s="169" t="inlineStr">
        <is>
          <t>Exemption curve per API 579 Part 3 Table 3.2 (not listed -&gt; A)</t>
        </is>
      </c>
      <c r="S6" s="169" t="n"/>
      <c r="T6" s="173" t="n">
        <v>260</v>
      </c>
      <c r="U6" s="174" t="n">
        <v>38</v>
      </c>
      <c r="V6" s="173" t="n">
        <v>485</v>
      </c>
      <c r="W6" s="174" t="n">
        <v>70</v>
      </c>
      <c r="X6" s="173" t="n">
        <v>200000</v>
      </c>
      <c r="Y6" s="175" t="n">
        <v>29007.5</v>
      </c>
      <c r="Z6" s="183" t="n"/>
      <c r="AA6" s="183" t="n"/>
      <c r="AB6" s="183" t="n"/>
      <c r="AC6" s="183" t="n"/>
      <c r="AD6" s="183" t="n"/>
      <c r="AE6" s="183" t="inlineStr">
        <is>
          <t>plane_strain</t>
        </is>
      </c>
    </row>
    <row r="7" ht="15" customHeight="1" s="92">
      <c r="A7" s="177" t="inlineStr">
        <is>
          <t>SA-516-55</t>
        </is>
      </c>
      <c r="B7" s="177" t="inlineStr">
        <is>
          <t>SA-516</t>
        </is>
      </c>
      <c r="C7" s="177" t="inlineStr">
        <is>
          <t>Gr 55</t>
        </is>
      </c>
      <c r="D7" s="177" t="inlineStr">
        <is>
          <t>Plate</t>
        </is>
      </c>
      <c r="E7" s="177" t="inlineStr">
        <is>
          <t>Not normalized</t>
        </is>
      </c>
      <c r="F7" s="177" t="inlineStr">
        <is>
          <t>CARBON_STEEL</t>
        </is>
      </c>
      <c r="G7" s="178">
        <f>IF(UNIT_SYSTEM="SI",IF(T7="","",T7),IF(U7="","",U7))</f>
        <v/>
      </c>
      <c r="H7" s="178">
        <f>IF(UNIT_SYSTEM="SI",IF(V7="","",V7),IF(W7="","",W7))</f>
        <v/>
      </c>
      <c r="I7" s="178">
        <f>IF(UNIT_SYSTEM="SI",IF(X7="","",X7),IF(Y7="","",Y7))</f>
        <v/>
      </c>
      <c r="J7" s="177" t="inlineStr">
        <is>
          <t>C</t>
        </is>
      </c>
      <c r="K7" s="177" t="inlineStr">
        <is>
          <t>C_MN_STEEL</t>
        </is>
      </c>
      <c r="L7" s="177" t="inlineStr">
        <is>
          <t>9F4M_FERRITIC_PEARLITE_AIR</t>
        </is>
      </c>
      <c r="M7" s="177" t="inlineStr">
        <is>
          <t>9F42_ASME_XI_LOWER</t>
        </is>
      </c>
      <c r="N7" s="177">
        <f>IF(UNIT_SYSTEM="SI",IF(Z7="","",Z7),IF(AA7="","",AA7))</f>
        <v/>
      </c>
      <c r="O7" s="177">
        <f>IF(UNIT_SYSTEM="SI",IF(AB7="","",AB7),IF(AC7="","",AC7))</f>
        <v/>
      </c>
      <c r="P7" s="177" t="n"/>
      <c r="Q7" s="177">
        <f>IF(UNIT_SYSTEM="SI",IF(AD7="","",AD7),IF(AE7="","",AE7))</f>
        <v/>
      </c>
      <c r="R7" s="177" t="inlineStr">
        <is>
          <t>Exemption curve per API 579 Part 3 Table 3.2</t>
        </is>
      </c>
      <c r="S7" s="177" t="n"/>
      <c r="T7" s="179" t="n">
        <v>205</v>
      </c>
      <c r="U7" s="180" t="n">
        <v>30</v>
      </c>
      <c r="V7" s="179" t="n">
        <v>380</v>
      </c>
      <c r="W7" s="180" t="n">
        <v>55</v>
      </c>
      <c r="X7" s="179" t="n">
        <v>200000</v>
      </c>
      <c r="Y7" s="181" t="n">
        <v>29007.5</v>
      </c>
      <c r="Z7" s="182" t="n"/>
      <c r="AA7" s="182" t="n"/>
      <c r="AB7" s="182" t="n"/>
      <c r="AC7" s="182" t="n"/>
      <c r="AD7" s="182" t="n"/>
      <c r="AE7" s="182" t="inlineStr">
        <is>
          <t>plane_strain</t>
        </is>
      </c>
    </row>
    <row r="8" ht="15" customHeight="1" s="92">
      <c r="A8" s="169" t="inlineStr">
        <is>
          <t>SA-516-60</t>
        </is>
      </c>
      <c r="B8" s="169" t="inlineStr">
        <is>
          <t>SA-516</t>
        </is>
      </c>
      <c r="C8" s="169" t="inlineStr">
        <is>
          <t>Gr 60</t>
        </is>
      </c>
      <c r="D8" s="169" t="inlineStr">
        <is>
          <t>Plate</t>
        </is>
      </c>
      <c r="E8" s="169" t="inlineStr">
        <is>
          <t>Not normalized</t>
        </is>
      </c>
      <c r="F8" s="169" t="inlineStr">
        <is>
          <t>CARBON_STEEL</t>
        </is>
      </c>
      <c r="G8" s="170">
        <f>IF(UNIT_SYSTEM="SI",IF(T8="","",T8),IF(U8="","",U8))</f>
        <v/>
      </c>
      <c r="H8" s="170">
        <f>IF(UNIT_SYSTEM="SI",IF(V8="","",V8),IF(W8="","",W8))</f>
        <v/>
      </c>
      <c r="I8" s="170">
        <f>IF(UNIT_SYSTEM="SI",IF(X8="","",X8),IF(Y8="","",Y8))</f>
        <v/>
      </c>
      <c r="J8" s="169" t="inlineStr">
        <is>
          <t>C</t>
        </is>
      </c>
      <c r="K8" s="169" t="inlineStr">
        <is>
          <t>C_MN_STEEL</t>
        </is>
      </c>
      <c r="L8" s="169" t="inlineStr">
        <is>
          <t>9F4M_FERRITIC_PEARLITE_AIR</t>
        </is>
      </c>
      <c r="M8" s="169" t="inlineStr">
        <is>
          <t>9F42_ASME_XI_LOWER</t>
        </is>
      </c>
      <c r="N8" s="169">
        <f>IF(UNIT_SYSTEM="SI",IF(Z8="","",Z8),IF(AA8="","",AA8))</f>
        <v/>
      </c>
      <c r="O8" s="169">
        <f>IF(UNIT_SYSTEM="SI",IF(AB8="","",AB8),IF(AC8="","",AC8))</f>
        <v/>
      </c>
      <c r="P8" s="169" t="n"/>
      <c r="Q8" s="169">
        <f>IF(UNIT_SYSTEM="SI",IF(AD8="","",AD8),IF(AE8="","",AE8))</f>
        <v/>
      </c>
      <c r="R8" s="169" t="inlineStr">
        <is>
          <t>Exemption curve per API 579 Part 3 Table 3.2</t>
        </is>
      </c>
      <c r="S8" s="169" t="n"/>
      <c r="T8" s="173" t="n">
        <v>220</v>
      </c>
      <c r="U8" s="174" t="n">
        <v>32</v>
      </c>
      <c r="V8" s="173" t="n">
        <v>415</v>
      </c>
      <c r="W8" s="174" t="n">
        <v>60</v>
      </c>
      <c r="X8" s="173" t="n">
        <v>200000</v>
      </c>
      <c r="Y8" s="175" t="n">
        <v>29007.5</v>
      </c>
      <c r="Z8" s="183" t="n"/>
      <c r="AA8" s="183" t="n"/>
      <c r="AB8" s="183" t="n"/>
      <c r="AC8" s="183" t="n"/>
      <c r="AD8" s="183" t="n"/>
      <c r="AE8" s="183" t="inlineStr">
        <is>
          <t>plane_strain</t>
        </is>
      </c>
    </row>
    <row r="9" ht="15" customHeight="1" s="92">
      <c r="A9" s="177" t="inlineStr">
        <is>
          <t>SA-516-65</t>
        </is>
      </c>
      <c r="B9" s="177" t="inlineStr">
        <is>
          <t>SA-516</t>
        </is>
      </c>
      <c r="C9" s="177" t="inlineStr">
        <is>
          <t>Gr 65</t>
        </is>
      </c>
      <c r="D9" s="177" t="inlineStr">
        <is>
          <t>Plate</t>
        </is>
      </c>
      <c r="E9" s="177" t="inlineStr">
        <is>
          <t>Not normalized</t>
        </is>
      </c>
      <c r="F9" s="177" t="inlineStr">
        <is>
          <t>CARBON_STEEL</t>
        </is>
      </c>
      <c r="G9" s="178">
        <f>IF(UNIT_SYSTEM="SI",IF(T9="","",T9),IF(U9="","",U9))</f>
        <v/>
      </c>
      <c r="H9" s="178">
        <f>IF(UNIT_SYSTEM="SI",IF(V9="","",V9),IF(W9="","",W9))</f>
        <v/>
      </c>
      <c r="I9" s="178">
        <f>IF(UNIT_SYSTEM="SI",IF(X9="","",X9),IF(Y9="","",Y9))</f>
        <v/>
      </c>
      <c r="J9" s="177" t="inlineStr">
        <is>
          <t>B</t>
        </is>
      </c>
      <c r="K9" s="177" t="inlineStr">
        <is>
          <t>C_MN_STEEL</t>
        </is>
      </c>
      <c r="L9" s="177" t="inlineStr">
        <is>
          <t>9F4M_FERRITIC_PEARLITE_AIR</t>
        </is>
      </c>
      <c r="M9" s="177" t="inlineStr">
        <is>
          <t>9F42_ASME_XI_LOWER</t>
        </is>
      </c>
      <c r="N9" s="177">
        <f>IF(UNIT_SYSTEM="SI",IF(Z9="","",Z9),IF(AA9="","",AA9))</f>
        <v/>
      </c>
      <c r="O9" s="177">
        <f>IF(UNIT_SYSTEM="SI",IF(AB9="","",AB9),IF(AC9="","",AC9))</f>
        <v/>
      </c>
      <c r="P9" s="177" t="n"/>
      <c r="Q9" s="177">
        <f>IF(UNIT_SYSTEM="SI",IF(AD9="","",AD9),IF(AE9="","",AE9))</f>
        <v/>
      </c>
      <c r="R9" s="177" t="inlineStr">
        <is>
          <t>Exemption curve per API 579 Part 3 Table 3.2</t>
        </is>
      </c>
      <c r="S9" s="177" t="n"/>
      <c r="T9" s="179" t="n">
        <v>240</v>
      </c>
      <c r="U9" s="180" t="n">
        <v>35</v>
      </c>
      <c r="V9" s="179" t="n">
        <v>450</v>
      </c>
      <c r="W9" s="180" t="n">
        <v>65</v>
      </c>
      <c r="X9" s="179" t="n">
        <v>200000</v>
      </c>
      <c r="Y9" s="181" t="n">
        <v>29007.5</v>
      </c>
      <c r="Z9" s="182" t="n"/>
      <c r="AA9" s="182" t="n"/>
      <c r="AB9" s="182" t="n"/>
      <c r="AC9" s="182" t="n"/>
      <c r="AD9" s="182" t="n"/>
      <c r="AE9" s="182" t="inlineStr">
        <is>
          <t>plane_strain</t>
        </is>
      </c>
    </row>
    <row r="10" ht="15" customHeight="1" s="92">
      <c r="A10" s="169" t="inlineStr">
        <is>
          <t>SA-516-70</t>
        </is>
      </c>
      <c r="B10" s="169" t="inlineStr">
        <is>
          <t>SA-516</t>
        </is>
      </c>
      <c r="C10" s="169" t="inlineStr">
        <is>
          <t>Gr 70</t>
        </is>
      </c>
      <c r="D10" s="169" t="inlineStr">
        <is>
          <t>Plate</t>
        </is>
      </c>
      <c r="E10" s="169" t="inlineStr">
        <is>
          <t>Not normalized</t>
        </is>
      </c>
      <c r="F10" s="169" t="inlineStr">
        <is>
          <t>CARBON_STEEL</t>
        </is>
      </c>
      <c r="G10" s="170">
        <f>IF(UNIT_SYSTEM="SI",IF(T10="","",T10),IF(U10="","",U10))</f>
        <v/>
      </c>
      <c r="H10" s="170">
        <f>IF(UNIT_SYSTEM="SI",IF(V10="","",V10),IF(W10="","",W10))</f>
        <v/>
      </c>
      <c r="I10" s="170">
        <f>IF(UNIT_SYSTEM="SI",IF(X10="","",X10),IF(Y10="","",Y10))</f>
        <v/>
      </c>
      <c r="J10" s="169" t="inlineStr">
        <is>
          <t>B</t>
        </is>
      </c>
      <c r="K10" s="169" t="inlineStr">
        <is>
          <t>C_MN_STEEL</t>
        </is>
      </c>
      <c r="L10" s="169" t="inlineStr">
        <is>
          <t>9F4M_FERRITIC_PEARLITE_AIR</t>
        </is>
      </c>
      <c r="M10" s="169" t="inlineStr">
        <is>
          <t>9F42_ASME_XI_LOWER</t>
        </is>
      </c>
      <c r="N10" s="169">
        <f>IF(UNIT_SYSTEM="SI",IF(Z10="","",Z10),IF(AA10="","",AA10))</f>
        <v/>
      </c>
      <c r="O10" s="169">
        <f>IF(UNIT_SYSTEM="SI",IF(AB10="","",AB10),IF(AC10="","",AC10))</f>
        <v/>
      </c>
      <c r="P10" s="169" t="n"/>
      <c r="Q10" s="169">
        <f>IF(UNIT_SYSTEM="SI",IF(AD10="","",AD10),IF(AE10="","",AE10))</f>
        <v/>
      </c>
      <c r="R10" s="169" t="inlineStr">
        <is>
          <t>Exemption curve per API 579 Part 3 Table 3.2</t>
        </is>
      </c>
      <c r="S10" s="169" t="n"/>
      <c r="T10" s="173" t="n">
        <v>260</v>
      </c>
      <c r="U10" s="174" t="n">
        <v>38</v>
      </c>
      <c r="V10" s="173" t="n">
        <v>485</v>
      </c>
      <c r="W10" s="174" t="n">
        <v>70</v>
      </c>
      <c r="X10" s="173" t="n">
        <v>200000</v>
      </c>
      <c r="Y10" s="175" t="n">
        <v>29007.5</v>
      </c>
      <c r="Z10" s="183" t="n"/>
      <c r="AA10" s="183" t="n"/>
      <c r="AB10" s="183" t="n"/>
      <c r="AC10" s="183" t="n"/>
      <c r="AD10" s="183" t="n"/>
      <c r="AE10" s="183" t="inlineStr">
        <is>
          <t>plane_strain</t>
        </is>
      </c>
    </row>
    <row r="11" ht="15" customHeight="1" s="92">
      <c r="A11" s="177" t="inlineStr">
        <is>
          <t>SA-516-70N</t>
        </is>
      </c>
      <c r="B11" s="177" t="inlineStr">
        <is>
          <t>SA-516</t>
        </is>
      </c>
      <c r="C11" s="177" t="inlineStr">
        <is>
          <t>Gr 70</t>
        </is>
      </c>
      <c r="D11" s="177" t="inlineStr">
        <is>
          <t>Plate</t>
        </is>
      </c>
      <c r="E11" s="177" t="inlineStr">
        <is>
          <t>Normalized</t>
        </is>
      </c>
      <c r="F11" s="177" t="inlineStr">
        <is>
          <t>CARBON_STEEL</t>
        </is>
      </c>
      <c r="G11" s="178">
        <f>IF(UNIT_SYSTEM="SI",IF(T11="","",T11),IF(U11="","",U11))</f>
        <v/>
      </c>
      <c r="H11" s="178">
        <f>IF(UNIT_SYSTEM="SI",IF(V11="","",V11),IF(W11="","",W11))</f>
        <v/>
      </c>
      <c r="I11" s="178">
        <f>IF(UNIT_SYSTEM="SI",IF(X11="","",X11),IF(Y11="","",Y11))</f>
        <v/>
      </c>
      <c r="J11" s="177" t="inlineStr">
        <is>
          <t>D</t>
        </is>
      </c>
      <c r="K11" s="177" t="inlineStr">
        <is>
          <t>C_MN_STEEL</t>
        </is>
      </c>
      <c r="L11" s="177" t="inlineStr">
        <is>
          <t>9F4M_FERRITIC_PEARLITE_AIR</t>
        </is>
      </c>
      <c r="M11" s="177" t="inlineStr">
        <is>
          <t>9F42_ASME_XI_LOWER</t>
        </is>
      </c>
      <c r="N11" s="177">
        <f>IF(UNIT_SYSTEM="SI",IF(Z11="","",Z11),IF(AA11="","",AA11))</f>
        <v/>
      </c>
      <c r="O11" s="177">
        <f>IF(UNIT_SYSTEM="SI",IF(AB11="","",AB11),IF(AC11="","",AC11))</f>
        <v/>
      </c>
      <c r="P11" s="177" t="n"/>
      <c r="Q11" s="177">
        <f>IF(UNIT_SYSTEM="SI",IF(AD11="","",AD11),IF(AE11="","",AE11))</f>
        <v/>
      </c>
      <c r="R11" s="177" t="inlineStr">
        <is>
          <t>Exemption curve per API 579 Part 3 Table 3.2</t>
        </is>
      </c>
      <c r="S11" s="177" t="n"/>
      <c r="T11" s="179" t="n">
        <v>260</v>
      </c>
      <c r="U11" s="180" t="n">
        <v>38</v>
      </c>
      <c r="V11" s="179" t="n">
        <v>485</v>
      </c>
      <c r="W11" s="180" t="n">
        <v>70</v>
      </c>
      <c r="X11" s="179" t="n">
        <v>200000</v>
      </c>
      <c r="Y11" s="181" t="n">
        <v>29007.5</v>
      </c>
      <c r="Z11" s="182" t="n"/>
      <c r="AA11" s="182" t="n"/>
      <c r="AB11" s="182" t="n"/>
      <c r="AC11" s="182" t="n"/>
      <c r="AD11" s="182" t="n"/>
      <c r="AE11" s="182" t="inlineStr">
        <is>
          <t>plane_strain</t>
        </is>
      </c>
    </row>
    <row r="12" ht="15" customHeight="1" s="92">
      <c r="A12" s="169" t="inlineStr">
        <is>
          <t>SA-537-CL1</t>
        </is>
      </c>
      <c r="B12" s="169" t="inlineStr">
        <is>
          <t>SA-537</t>
        </is>
      </c>
      <c r="C12" s="169" t="inlineStr">
        <is>
          <t>Cl 1</t>
        </is>
      </c>
      <c r="D12" s="169" t="inlineStr">
        <is>
          <t>Plate</t>
        </is>
      </c>
      <c r="E12" s="169" t="inlineStr">
        <is>
          <t>Normalized</t>
        </is>
      </c>
      <c r="F12" s="169" t="inlineStr">
        <is>
          <t>CARBON_STEEL</t>
        </is>
      </c>
      <c r="G12" s="170">
        <f>IF(UNIT_SYSTEM="SI",IF(T12="","",T12),IF(U12="","",U12))</f>
        <v/>
      </c>
      <c r="H12" s="170">
        <f>IF(UNIT_SYSTEM="SI",IF(V12="","",V12),IF(W12="","",W12))</f>
        <v/>
      </c>
      <c r="I12" s="170">
        <f>IF(UNIT_SYSTEM="SI",IF(X12="","",X12),IF(Y12="","",Y12))</f>
        <v/>
      </c>
      <c r="J12" s="169" t="inlineStr">
        <is>
          <t>D</t>
        </is>
      </c>
      <c r="K12" s="169" t="inlineStr">
        <is>
          <t>C_MN_STEEL</t>
        </is>
      </c>
      <c r="L12" s="169" t="inlineStr">
        <is>
          <t>9F4M_FERRITIC_PEARLITE_AIR</t>
        </is>
      </c>
      <c r="M12" s="169" t="inlineStr">
        <is>
          <t>9F42_ASME_XI_LOWER</t>
        </is>
      </c>
      <c r="N12" s="169">
        <f>IF(UNIT_SYSTEM="SI",IF(Z12="","",Z12),IF(AA12="","",AA12))</f>
        <v/>
      </c>
      <c r="O12" s="169">
        <f>IF(UNIT_SYSTEM="SI",IF(AB12="","",AB12),IF(AC12="","",AC12))</f>
        <v/>
      </c>
      <c r="P12" s="169" t="n"/>
      <c r="Q12" s="169">
        <f>IF(UNIT_SYSTEM="SI",IF(AD12="","",AD12),IF(AE12="","",AE12))</f>
        <v/>
      </c>
      <c r="R12" s="169" t="inlineStr">
        <is>
          <t>Exemption curve per API 579 Part 3 Table 3.2; SMYS for t &lt;= 65 mm (2.5 in)</t>
        </is>
      </c>
      <c r="S12" s="169" t="n"/>
      <c r="T12" s="173" t="n">
        <v>345</v>
      </c>
      <c r="U12" s="174" t="n">
        <v>50</v>
      </c>
      <c r="V12" s="173" t="n">
        <v>485</v>
      </c>
      <c r="W12" s="174" t="n">
        <v>70</v>
      </c>
      <c r="X12" s="173" t="n">
        <v>200000</v>
      </c>
      <c r="Y12" s="175" t="n">
        <v>29007.5</v>
      </c>
      <c r="Z12" s="183" t="n"/>
      <c r="AA12" s="183" t="n"/>
      <c r="AB12" s="183" t="n"/>
      <c r="AC12" s="183" t="n"/>
      <c r="AD12" s="183" t="n"/>
      <c r="AE12" s="183" t="inlineStr">
        <is>
          <t>plane_strain</t>
        </is>
      </c>
    </row>
    <row r="13" ht="15" customHeight="1" s="92">
      <c r="A13" s="177" t="inlineStr">
        <is>
          <t>SA-106-B</t>
        </is>
      </c>
      <c r="B13" s="177" t="inlineStr">
        <is>
          <t>SA-106</t>
        </is>
      </c>
      <c r="C13" s="177" t="inlineStr">
        <is>
          <t>Gr B</t>
        </is>
      </c>
      <c r="D13" s="177" t="inlineStr">
        <is>
          <t>Seamless pipe</t>
        </is>
      </c>
      <c r="E13" s="177" t="inlineStr">
        <is>
          <t>-</t>
        </is>
      </c>
      <c r="F13" s="177" t="inlineStr">
        <is>
          <t>CARBON_STEEL</t>
        </is>
      </c>
      <c r="G13" s="178">
        <f>IF(UNIT_SYSTEM="SI",IF(T13="","",T13),IF(U13="","",U13))</f>
        <v/>
      </c>
      <c r="H13" s="178">
        <f>IF(UNIT_SYSTEM="SI",IF(V13="","",V13),IF(W13="","",W13))</f>
        <v/>
      </c>
      <c r="I13" s="178">
        <f>IF(UNIT_SYSTEM="SI",IF(X13="","",X13),IF(Y13="","",Y13))</f>
        <v/>
      </c>
      <c r="J13" s="177" t="inlineStr">
        <is>
          <t>B</t>
        </is>
      </c>
      <c r="K13" s="177" t="inlineStr">
        <is>
          <t>C_MN_STEEL</t>
        </is>
      </c>
      <c r="L13" s="177" t="inlineStr">
        <is>
          <t>9F4M_FERRITIC_PEARLITE_AIR</t>
        </is>
      </c>
      <c r="M13" s="177" t="inlineStr">
        <is>
          <t>9F42_ASME_XI_LOWER</t>
        </is>
      </c>
      <c r="N13" s="177">
        <f>IF(UNIT_SYSTEM="SI",IF(Z13="","",Z13),IF(AA13="","",AA13))</f>
        <v/>
      </c>
      <c r="O13" s="177">
        <f>IF(UNIT_SYSTEM="SI",IF(AB13="","",AB13),IF(AC13="","",AC13))</f>
        <v/>
      </c>
      <c r="P13" s="177" t="n"/>
      <c r="Q13" s="177">
        <f>IF(UNIT_SYSTEM="SI",IF(AD13="","",AD13),IF(AE13="","",AE13))</f>
        <v/>
      </c>
      <c r="R13" s="177" t="inlineStr">
        <is>
          <t>Exemption curve per API 579 Part 3 Table 3.2 (all pipe -&gt; B)</t>
        </is>
      </c>
      <c r="S13" s="177" t="n"/>
      <c r="T13" s="179" t="n">
        <v>240</v>
      </c>
      <c r="U13" s="180" t="n">
        <v>35</v>
      </c>
      <c r="V13" s="179" t="n">
        <v>415</v>
      </c>
      <c r="W13" s="180" t="n">
        <v>60</v>
      </c>
      <c r="X13" s="179" t="n">
        <v>200000</v>
      </c>
      <c r="Y13" s="181" t="n">
        <v>29007.5</v>
      </c>
      <c r="Z13" s="182" t="n"/>
      <c r="AA13" s="182" t="n"/>
      <c r="AB13" s="182" t="n"/>
      <c r="AC13" s="182" t="n"/>
      <c r="AD13" s="182" t="n"/>
      <c r="AE13" s="182" t="inlineStr">
        <is>
          <t>plane_strain</t>
        </is>
      </c>
    </row>
    <row r="14" ht="15" customHeight="1" s="92">
      <c r="A14" s="169" t="inlineStr">
        <is>
          <t>SA-106-C</t>
        </is>
      </c>
      <c r="B14" s="169" t="inlineStr">
        <is>
          <t>SA-106</t>
        </is>
      </c>
      <c r="C14" s="169" t="inlineStr">
        <is>
          <t>Gr C</t>
        </is>
      </c>
      <c r="D14" s="169" t="inlineStr">
        <is>
          <t>Seamless pipe</t>
        </is>
      </c>
      <c r="E14" s="169" t="inlineStr">
        <is>
          <t>-</t>
        </is>
      </c>
      <c r="F14" s="169" t="inlineStr">
        <is>
          <t>CARBON_STEEL</t>
        </is>
      </c>
      <c r="G14" s="170">
        <f>IF(UNIT_SYSTEM="SI",IF(T14="","",T14),IF(U14="","",U14))</f>
        <v/>
      </c>
      <c r="H14" s="170">
        <f>IF(UNIT_SYSTEM="SI",IF(V14="","",V14),IF(W14="","",W14))</f>
        <v/>
      </c>
      <c r="I14" s="170">
        <f>IF(UNIT_SYSTEM="SI",IF(X14="","",X14),IF(Y14="","",Y14))</f>
        <v/>
      </c>
      <c r="J14" s="169" t="inlineStr">
        <is>
          <t>B</t>
        </is>
      </c>
      <c r="K14" s="169" t="inlineStr">
        <is>
          <t>C_MN_STEEL</t>
        </is>
      </c>
      <c r="L14" s="169" t="inlineStr">
        <is>
          <t>9F4M_FERRITIC_PEARLITE_AIR</t>
        </is>
      </c>
      <c r="M14" s="169" t="inlineStr">
        <is>
          <t>9F42_ASME_XI_LOWER</t>
        </is>
      </c>
      <c r="N14" s="169">
        <f>IF(UNIT_SYSTEM="SI",IF(Z14="","",Z14),IF(AA14="","",AA14))</f>
        <v/>
      </c>
      <c r="O14" s="169">
        <f>IF(UNIT_SYSTEM="SI",IF(AB14="","",AB14),IF(AC14="","",AC14))</f>
        <v/>
      </c>
      <c r="P14" s="169" t="n"/>
      <c r="Q14" s="169">
        <f>IF(UNIT_SYSTEM="SI",IF(AD14="","",AD14),IF(AE14="","",AE14))</f>
        <v/>
      </c>
      <c r="R14" s="169" t="inlineStr">
        <is>
          <t>Exemption curve per API 579 Part 3 Table 3.2 (all pipe -&gt; B)</t>
        </is>
      </c>
      <c r="S14" s="169" t="n"/>
      <c r="T14" s="173" t="n">
        <v>275</v>
      </c>
      <c r="U14" s="174" t="n">
        <v>40</v>
      </c>
      <c r="V14" s="173" t="n">
        <v>485</v>
      </c>
      <c r="W14" s="174" t="n">
        <v>70</v>
      </c>
      <c r="X14" s="173" t="n">
        <v>200000</v>
      </c>
      <c r="Y14" s="175" t="n">
        <v>29007.5</v>
      </c>
      <c r="Z14" s="183" t="n"/>
      <c r="AA14" s="183" t="n"/>
      <c r="AB14" s="183" t="n"/>
      <c r="AC14" s="183" t="n"/>
      <c r="AD14" s="183" t="n"/>
      <c r="AE14" s="183" t="inlineStr">
        <is>
          <t>plane_strain</t>
        </is>
      </c>
    </row>
    <row r="15" ht="15" customHeight="1" s="92">
      <c r="A15" s="177" t="inlineStr">
        <is>
          <t>SA-53-B</t>
        </is>
      </c>
      <c r="B15" s="177" t="inlineStr">
        <is>
          <t>SA-53</t>
        </is>
      </c>
      <c r="C15" s="177" t="inlineStr">
        <is>
          <t>Gr B</t>
        </is>
      </c>
      <c r="D15" s="177" t="inlineStr">
        <is>
          <t>Pipe</t>
        </is>
      </c>
      <c r="E15" s="177" t="inlineStr">
        <is>
          <t>-</t>
        </is>
      </c>
      <c r="F15" s="177" t="inlineStr">
        <is>
          <t>CARBON_STEEL</t>
        </is>
      </c>
      <c r="G15" s="178">
        <f>IF(UNIT_SYSTEM="SI",IF(T15="","",T15),IF(U15="","",U15))</f>
        <v/>
      </c>
      <c r="H15" s="178">
        <f>IF(UNIT_SYSTEM="SI",IF(V15="","",V15),IF(W15="","",W15))</f>
        <v/>
      </c>
      <c r="I15" s="178">
        <f>IF(UNIT_SYSTEM="SI",IF(X15="","",X15),IF(Y15="","",Y15))</f>
        <v/>
      </c>
      <c r="J15" s="177" t="inlineStr">
        <is>
          <t>B</t>
        </is>
      </c>
      <c r="K15" s="177" t="inlineStr">
        <is>
          <t>C_MN_STEEL</t>
        </is>
      </c>
      <c r="L15" s="177" t="inlineStr">
        <is>
          <t>9F4M_FERRITIC_PEARLITE_AIR</t>
        </is>
      </c>
      <c r="M15" s="177" t="inlineStr">
        <is>
          <t>9F42_ASME_XI_LOWER</t>
        </is>
      </c>
      <c r="N15" s="177">
        <f>IF(UNIT_SYSTEM="SI",IF(Z15="","",Z15),IF(AA15="","",AA15))</f>
        <v/>
      </c>
      <c r="O15" s="177">
        <f>IF(UNIT_SYSTEM="SI",IF(AB15="","",AB15),IF(AC15="","",AC15))</f>
        <v/>
      </c>
      <c r="P15" s="177" t="n"/>
      <c r="Q15" s="177">
        <f>IF(UNIT_SYSTEM="SI",IF(AD15="","",AD15),IF(AE15="","",AE15))</f>
        <v/>
      </c>
      <c r="R15" s="177" t="inlineStr">
        <is>
          <t>Exemption curve per API 579 Part 3 Table 3.2 (all pipe -&gt; B)</t>
        </is>
      </c>
      <c r="S15" s="177" t="n"/>
      <c r="T15" s="179" t="n">
        <v>240</v>
      </c>
      <c r="U15" s="180" t="n">
        <v>35</v>
      </c>
      <c r="V15" s="179" t="n">
        <v>415</v>
      </c>
      <c r="W15" s="180" t="n">
        <v>60</v>
      </c>
      <c r="X15" s="179" t="n">
        <v>200000</v>
      </c>
      <c r="Y15" s="181" t="n">
        <v>29007.5</v>
      </c>
      <c r="Z15" s="182" t="n"/>
      <c r="AA15" s="182" t="n"/>
      <c r="AB15" s="182" t="n"/>
      <c r="AC15" s="182" t="n"/>
      <c r="AD15" s="182" t="n"/>
      <c r="AE15" s="182" t="inlineStr">
        <is>
          <t>plane_strain</t>
        </is>
      </c>
    </row>
    <row r="16" ht="15" customHeight="1" s="92">
      <c r="A16" s="169" t="inlineStr">
        <is>
          <t>SA-333-6</t>
        </is>
      </c>
      <c r="B16" s="169" t="inlineStr">
        <is>
          <t>SA-333</t>
        </is>
      </c>
      <c r="C16" s="169" t="inlineStr">
        <is>
          <t>Gr 6</t>
        </is>
      </c>
      <c r="D16" s="169" t="inlineStr">
        <is>
          <t>Pipe</t>
        </is>
      </c>
      <c r="E16" s="169" t="inlineStr">
        <is>
          <t>Normalized</t>
        </is>
      </c>
      <c r="F16" s="169" t="inlineStr">
        <is>
          <t>CARBON_STEEL</t>
        </is>
      </c>
      <c r="G16" s="170">
        <f>IF(UNIT_SYSTEM="SI",IF(T16="","",T16),IF(U16="","",U16))</f>
        <v/>
      </c>
      <c r="H16" s="170">
        <f>IF(UNIT_SYSTEM="SI",IF(V16="","",V16),IF(W16="","",W16))</f>
        <v/>
      </c>
      <c r="I16" s="170">
        <f>IF(UNIT_SYSTEM="SI",IF(X16="","",X16),IF(Y16="","",Y16))</f>
        <v/>
      </c>
      <c r="J16" s="169" t="inlineStr">
        <is>
          <t>B</t>
        </is>
      </c>
      <c r="K16" s="169" t="inlineStr">
        <is>
          <t>C_MN_STEEL</t>
        </is>
      </c>
      <c r="L16" s="169" t="inlineStr">
        <is>
          <t>9F4M_FERRITIC_PEARLITE_AIR</t>
        </is>
      </c>
      <c r="M16" s="169" t="inlineStr">
        <is>
          <t>9F42_ASME_XI_LOWER</t>
        </is>
      </c>
      <c r="N16" s="169">
        <f>IF(UNIT_SYSTEM="SI",IF(Z16="","",Z16),IF(AA16="","",AA16))</f>
        <v/>
      </c>
      <c r="O16" s="169">
        <f>IF(UNIT_SYSTEM="SI",IF(AB16="","",AB16),IF(AC16="","",AC16))</f>
        <v/>
      </c>
      <c r="P16" s="169" t="n"/>
      <c r="Q16" s="169">
        <f>IF(UNIT_SYSTEM="SI",IF(AD16="","",AD16),IF(AE16="","",AE16))</f>
        <v/>
      </c>
      <c r="R16" s="169" t="inlineStr">
        <is>
          <t>Exemption curve per API 579 Part 3 Table 3.2 (all pipe -&gt; B)</t>
        </is>
      </c>
      <c r="S16" s="169" t="n"/>
      <c r="T16" s="173" t="n">
        <v>240</v>
      </c>
      <c r="U16" s="174" t="n">
        <v>35</v>
      </c>
      <c r="V16" s="173" t="n">
        <v>415</v>
      </c>
      <c r="W16" s="174" t="n">
        <v>60</v>
      </c>
      <c r="X16" s="173" t="n">
        <v>200000</v>
      </c>
      <c r="Y16" s="175" t="n">
        <v>29007.5</v>
      </c>
      <c r="Z16" s="183" t="n"/>
      <c r="AA16" s="183" t="n"/>
      <c r="AB16" s="183" t="n"/>
      <c r="AC16" s="183" t="n"/>
      <c r="AD16" s="183" t="n"/>
      <c r="AE16" s="183" t="inlineStr">
        <is>
          <t>plane_strain</t>
        </is>
      </c>
    </row>
    <row r="17" ht="15" customHeight="1" s="92">
      <c r="A17" s="177" t="inlineStr">
        <is>
          <t>SA-234-WPB</t>
        </is>
      </c>
      <c r="B17" s="177" t="inlineStr">
        <is>
          <t>SA-234</t>
        </is>
      </c>
      <c r="C17" s="177" t="inlineStr">
        <is>
          <t>WPB</t>
        </is>
      </c>
      <c r="D17" s="177" t="inlineStr">
        <is>
          <t>Fitting</t>
        </is>
      </c>
      <c r="E17" s="177" t="inlineStr">
        <is>
          <t>-</t>
        </is>
      </c>
      <c r="F17" s="177" t="inlineStr">
        <is>
          <t>CARBON_STEEL</t>
        </is>
      </c>
      <c r="G17" s="178">
        <f>IF(UNIT_SYSTEM="SI",IF(T17="","",T17),IF(U17="","",U17))</f>
        <v/>
      </c>
      <c r="H17" s="178">
        <f>IF(UNIT_SYSTEM="SI",IF(V17="","",V17),IF(W17="","",W17))</f>
        <v/>
      </c>
      <c r="I17" s="178">
        <f>IF(UNIT_SYSTEM="SI",IF(X17="","",X17),IF(Y17="","",Y17))</f>
        <v/>
      </c>
      <c r="J17" s="177" t="inlineStr">
        <is>
          <t>B</t>
        </is>
      </c>
      <c r="K17" s="177" t="inlineStr">
        <is>
          <t>C_MN_STEEL</t>
        </is>
      </c>
      <c r="L17" s="177" t="inlineStr">
        <is>
          <t>9F4M_FERRITIC_PEARLITE_AIR</t>
        </is>
      </c>
      <c r="M17" s="177" t="inlineStr">
        <is>
          <t>9F42_ASME_XI_LOWER</t>
        </is>
      </c>
      <c r="N17" s="177">
        <f>IF(UNIT_SYSTEM="SI",IF(Z17="","",Z17),IF(AA17="","",AA17))</f>
        <v/>
      </c>
      <c r="O17" s="177">
        <f>IF(UNIT_SYSTEM="SI",IF(AB17="","",AB17),IF(AC17="","",AC17))</f>
        <v/>
      </c>
      <c r="P17" s="177" t="n"/>
      <c r="Q17" s="177">
        <f>IF(UNIT_SYSTEM="SI",IF(AD17="","",AD17),IF(AE17="","",AE17))</f>
        <v/>
      </c>
      <c r="R17" s="177" t="inlineStr">
        <is>
          <t>Exemption curve per API 579 Part 3 Table 3.2 (fittings -&gt; B)</t>
        </is>
      </c>
      <c r="S17" s="177" t="n"/>
      <c r="T17" s="179" t="n">
        <v>240</v>
      </c>
      <c r="U17" s="180" t="n">
        <v>35</v>
      </c>
      <c r="V17" s="179" t="n">
        <v>415</v>
      </c>
      <c r="W17" s="180" t="n">
        <v>60</v>
      </c>
      <c r="X17" s="179" t="n">
        <v>200000</v>
      </c>
      <c r="Y17" s="181" t="n">
        <v>29007.5</v>
      </c>
      <c r="Z17" s="182" t="n"/>
      <c r="AA17" s="182" t="n"/>
      <c r="AB17" s="182" t="n"/>
      <c r="AC17" s="182" t="n"/>
      <c r="AD17" s="182" t="n"/>
      <c r="AE17" s="182" t="inlineStr">
        <is>
          <t>plane_strain</t>
        </is>
      </c>
    </row>
    <row r="18" ht="15" customHeight="1" s="92">
      <c r="A18" s="169" t="inlineStr">
        <is>
          <t>SA-105</t>
        </is>
      </c>
      <c r="B18" s="169" t="inlineStr">
        <is>
          <t>SA-105</t>
        </is>
      </c>
      <c r="C18" s="169" t="inlineStr">
        <is>
          <t>-</t>
        </is>
      </c>
      <c r="D18" s="169" t="inlineStr">
        <is>
          <t>Forging</t>
        </is>
      </c>
      <c r="E18" s="169" t="inlineStr">
        <is>
          <t>As-forged, 1989 or later</t>
        </is>
      </c>
      <c r="F18" s="169" t="inlineStr">
        <is>
          <t>CARBON_STEEL</t>
        </is>
      </c>
      <c r="G18" s="170">
        <f>IF(UNIT_SYSTEM="SI",IF(T18="","",T18),IF(U18="","",U18))</f>
        <v/>
      </c>
      <c r="H18" s="170">
        <f>IF(UNIT_SYSTEM="SI",IF(V18="","",V18),IF(W18="","",W18))</f>
        <v/>
      </c>
      <c r="I18" s="170">
        <f>IF(UNIT_SYSTEM="SI",IF(X18="","",X18),IF(Y18="","",Y18))</f>
        <v/>
      </c>
      <c r="J18" s="169" t="inlineStr">
        <is>
          <t>B</t>
        </is>
      </c>
      <c r="K18" s="169" t="inlineStr">
        <is>
          <t>C_MN_STEEL</t>
        </is>
      </c>
      <c r="L18" s="169" t="inlineStr">
        <is>
          <t>9F4M_FERRITIC_PEARLITE_AIR</t>
        </is>
      </c>
      <c r="M18" s="169" t="inlineStr">
        <is>
          <t>9F42_ASME_XI_LOWER</t>
        </is>
      </c>
      <c r="N18" s="169">
        <f>IF(UNIT_SYSTEM="SI",IF(Z18="","",Z18),IF(AA18="","",AA18))</f>
        <v/>
      </c>
      <c r="O18" s="169">
        <f>IF(UNIT_SYSTEM="SI",IF(AB18="","",AB18),IF(AC18="","",AC18))</f>
        <v/>
      </c>
      <c r="P18" s="169" t="n"/>
      <c r="Q18" s="169">
        <f>IF(UNIT_SYSTEM="SI",IF(AD18="","",AD18),IF(AE18="","",AE18))</f>
        <v/>
      </c>
      <c r="R18" s="169" t="inlineStr">
        <is>
          <t>Exemption curve per API 579 Part 3 Table 3.2 (curve depends on heat treatment/vintage - confirm)</t>
        </is>
      </c>
      <c r="S18" s="169" t="n"/>
      <c r="T18" s="173" t="n">
        <v>250</v>
      </c>
      <c r="U18" s="174" t="n">
        <v>36</v>
      </c>
      <c r="V18" s="173" t="n">
        <v>485</v>
      </c>
      <c r="W18" s="174" t="n">
        <v>70</v>
      </c>
      <c r="X18" s="173" t="n">
        <v>200000</v>
      </c>
      <c r="Y18" s="175" t="n">
        <v>29007.5</v>
      </c>
      <c r="Z18" s="183" t="n"/>
      <c r="AA18" s="183" t="n"/>
      <c r="AB18" s="183" t="n"/>
      <c r="AC18" s="183" t="n"/>
      <c r="AD18" s="183" t="n"/>
      <c r="AE18" s="183" t="inlineStr">
        <is>
          <t>plane_strain</t>
        </is>
      </c>
    </row>
    <row r="19" ht="15" customHeight="1" s="92">
      <c r="A19" s="177" t="inlineStr">
        <is>
          <t>SA-350-LF2</t>
        </is>
      </c>
      <c r="B19" s="177" t="inlineStr">
        <is>
          <t>SA-350</t>
        </is>
      </c>
      <c r="C19" s="177" t="inlineStr">
        <is>
          <t>LF2 Cl 1</t>
        </is>
      </c>
      <c r="D19" s="177" t="inlineStr">
        <is>
          <t>Forging</t>
        </is>
      </c>
      <c r="E19" s="177" t="inlineStr">
        <is>
          <t>Normalized</t>
        </is>
      </c>
      <c r="F19" s="177" t="inlineStr">
        <is>
          <t>CARBON_STEEL</t>
        </is>
      </c>
      <c r="G19" s="178">
        <f>IF(UNIT_SYSTEM="SI",IF(T19="","",T19),IF(U19="","",U19))</f>
        <v/>
      </c>
      <c r="H19" s="178">
        <f>IF(UNIT_SYSTEM="SI",IF(V19="","",V19),IF(W19="","",W19))</f>
        <v/>
      </c>
      <c r="I19" s="178">
        <f>IF(UNIT_SYSTEM="SI",IF(X19="","",X19),IF(Y19="","",Y19))</f>
        <v/>
      </c>
      <c r="J19" s="177" t="inlineStr">
        <is>
          <t>B</t>
        </is>
      </c>
      <c r="K19" s="177" t="inlineStr">
        <is>
          <t>C_MN_STEEL</t>
        </is>
      </c>
      <c r="L19" s="177" t="inlineStr">
        <is>
          <t>9F4M_FERRITIC_PEARLITE_AIR</t>
        </is>
      </c>
      <c r="M19" s="177" t="inlineStr">
        <is>
          <t>9F42_ASME_XI_LOWER</t>
        </is>
      </c>
      <c r="N19" s="177">
        <f>IF(UNIT_SYSTEM="SI",IF(Z19="","",Z19),IF(AA19="","",AA19))</f>
        <v/>
      </c>
      <c r="O19" s="177">
        <f>IF(UNIT_SYSTEM="SI",IF(AB19="","",AB19),IF(AC19="","",AC19))</f>
        <v/>
      </c>
      <c r="P19" s="177" t="n"/>
      <c r="Q19" s="177">
        <f>IF(UNIT_SYSTEM="SI",IF(AD19="","",AD19),IF(AE19="","",AE19))</f>
        <v/>
      </c>
      <c r="R19" s="177" t="inlineStr">
        <is>
          <t>Exemption curve per API 579 Part 3 Table 3.2 (forgings not listed -&gt; B)</t>
        </is>
      </c>
      <c r="S19" s="177" t="n"/>
      <c r="T19" s="179" t="n">
        <v>250</v>
      </c>
      <c r="U19" s="180" t="n">
        <v>36</v>
      </c>
      <c r="V19" s="179" t="n">
        <v>485</v>
      </c>
      <c r="W19" s="180" t="n">
        <v>70</v>
      </c>
      <c r="X19" s="179" t="n">
        <v>200000</v>
      </c>
      <c r="Y19" s="181" t="n">
        <v>29007.5</v>
      </c>
      <c r="Z19" s="182" t="n"/>
      <c r="AA19" s="182" t="n"/>
      <c r="AB19" s="182" t="n"/>
      <c r="AC19" s="182" t="n"/>
      <c r="AD19" s="182" t="n"/>
      <c r="AE19" s="182" t="inlineStr">
        <is>
          <t>plane_strain</t>
        </is>
      </c>
    </row>
    <row r="20" ht="15" customHeight="1" s="92">
      <c r="A20" s="169" t="inlineStr">
        <is>
          <t>API-5L-X52</t>
        </is>
      </c>
      <c r="B20" s="169" t="inlineStr">
        <is>
          <t>API 5L</t>
        </is>
      </c>
      <c r="C20" s="169" t="inlineStr">
        <is>
          <t>X52 PSL2</t>
        </is>
      </c>
      <c r="D20" s="169" t="inlineStr">
        <is>
          <t>Line pipe</t>
        </is>
      </c>
      <c r="E20" s="169" t="inlineStr">
        <is>
          <t>-</t>
        </is>
      </c>
      <c r="F20" s="169" t="inlineStr">
        <is>
          <t>CARBON_STEEL</t>
        </is>
      </c>
      <c r="G20" s="170">
        <f>IF(UNIT_SYSTEM="SI",IF(T20="","",T20),IF(U20="","",U20))</f>
        <v/>
      </c>
      <c r="H20" s="170">
        <f>IF(UNIT_SYSTEM="SI",IF(V20="","",V20),IF(W20="","",W20))</f>
        <v/>
      </c>
      <c r="I20" s="170">
        <f>IF(UNIT_SYSTEM="SI",IF(X20="","",X20),IF(Y20="","",Y20))</f>
        <v/>
      </c>
      <c r="J20" s="169" t="inlineStr">
        <is>
          <t>B</t>
        </is>
      </c>
      <c r="K20" s="169" t="inlineStr">
        <is>
          <t>C_MN_STEEL</t>
        </is>
      </c>
      <c r="L20" s="169" t="inlineStr">
        <is>
          <t>9F9M_X52_DOE</t>
        </is>
      </c>
      <c r="M20" s="169" t="inlineStr">
        <is>
          <t>9F42_ASME_XI_LOWER</t>
        </is>
      </c>
      <c r="N20" s="169">
        <f>IF(UNIT_SYSTEM="SI",IF(Z20="","",Z20),IF(AA20="","",AA20))</f>
        <v/>
      </c>
      <c r="O20" s="169">
        <f>IF(UNIT_SYSTEM="SI",IF(AB20="","",AB20),IF(AC20="","",AC20))</f>
        <v/>
      </c>
      <c r="P20" s="169" t="n"/>
      <c r="Q20" s="169">
        <f>IF(UNIT_SYSTEM="SI",IF(AD20="","",AD20),IF(AE20="","",AE20))</f>
        <v/>
      </c>
      <c r="R20" s="169" t="inlineStr">
        <is>
          <t>Exemption curve per API 579 Part 3 Table 3.2 (all pipe -&gt; B)</t>
        </is>
      </c>
      <c r="S20" s="169" t="n"/>
      <c r="T20" s="173" t="n">
        <v>360</v>
      </c>
      <c r="U20" s="174" t="n">
        <v>52.2</v>
      </c>
      <c r="V20" s="173" t="n">
        <v>460</v>
      </c>
      <c r="W20" s="174" t="n">
        <v>66.7</v>
      </c>
      <c r="X20" s="173" t="n">
        <v>200000</v>
      </c>
      <c r="Y20" s="175" t="n">
        <v>29007.5</v>
      </c>
      <c r="Z20" s="183" t="n"/>
      <c r="AA20" s="183" t="n"/>
      <c r="AB20" s="183" t="n"/>
      <c r="AC20" s="183" t="n"/>
      <c r="AD20" s="183" t="n"/>
      <c r="AE20" s="183" t="inlineStr">
        <is>
          <t>plane_strain</t>
        </is>
      </c>
    </row>
    <row r="21" ht="15" customHeight="1" s="92">
      <c r="A21" s="177" t="inlineStr">
        <is>
          <t>API-5L-X60</t>
        </is>
      </c>
      <c r="B21" s="177" t="inlineStr">
        <is>
          <t>API 5L</t>
        </is>
      </c>
      <c r="C21" s="177" t="inlineStr">
        <is>
          <t>X60 PSL2</t>
        </is>
      </c>
      <c r="D21" s="177" t="inlineStr">
        <is>
          <t>Line pipe</t>
        </is>
      </c>
      <c r="E21" s="177" t="inlineStr">
        <is>
          <t>-</t>
        </is>
      </c>
      <c r="F21" s="177" t="inlineStr">
        <is>
          <t>CARBON_STEEL</t>
        </is>
      </c>
      <c r="G21" s="178">
        <f>IF(UNIT_SYSTEM="SI",IF(T21="","",T21),IF(U21="","",U21))</f>
        <v/>
      </c>
      <c r="H21" s="178">
        <f>IF(UNIT_SYSTEM="SI",IF(V21="","",V21),IF(W21="","",W21))</f>
        <v/>
      </c>
      <c r="I21" s="178">
        <f>IF(UNIT_SYSTEM="SI",IF(X21="","",X21),IF(Y21="","",Y21))</f>
        <v/>
      </c>
      <c r="J21" s="177" t="inlineStr">
        <is>
          <t>B</t>
        </is>
      </c>
      <c r="K21" s="177" t="inlineStr">
        <is>
          <t>C_MN_STEEL</t>
        </is>
      </c>
      <c r="L21" s="177" t="inlineStr">
        <is>
          <t>9F4M_FERRITIC_PEARLITE_AIR</t>
        </is>
      </c>
      <c r="M21" s="177" t="inlineStr">
        <is>
          <t>9F42_ASME_XI_LOWER</t>
        </is>
      </c>
      <c r="N21" s="177">
        <f>IF(UNIT_SYSTEM="SI",IF(Z21="","",Z21),IF(AA21="","",AA21))</f>
        <v/>
      </c>
      <c r="O21" s="177">
        <f>IF(UNIT_SYSTEM="SI",IF(AB21="","",AB21),IF(AC21="","",AC21))</f>
        <v/>
      </c>
      <c r="P21" s="177" t="n"/>
      <c r="Q21" s="177">
        <f>IF(UNIT_SYSTEM="SI",IF(AD21="","",AD21),IF(AE21="","",AE21))</f>
        <v/>
      </c>
      <c r="R21" s="177" t="inlineStr">
        <is>
          <t>Exemption curve per API 579 Part 3 Table 3.2 (all pipe -&gt; B)</t>
        </is>
      </c>
      <c r="S21" s="177" t="n"/>
      <c r="T21" s="179" t="n">
        <v>415</v>
      </c>
      <c r="U21" s="180" t="n">
        <v>60.2</v>
      </c>
      <c r="V21" s="179" t="n">
        <v>520</v>
      </c>
      <c r="W21" s="180" t="n">
        <v>75.40000000000001</v>
      </c>
      <c r="X21" s="179" t="n">
        <v>200000</v>
      </c>
      <c r="Y21" s="181" t="n">
        <v>29007.5</v>
      </c>
      <c r="Z21" s="182" t="n"/>
      <c r="AA21" s="182" t="n"/>
      <c r="AB21" s="182" t="n"/>
      <c r="AC21" s="182" t="n"/>
      <c r="AD21" s="182" t="n"/>
      <c r="AE21" s="182" t="inlineStr">
        <is>
          <t>plane_strain</t>
        </is>
      </c>
    </row>
    <row r="22" ht="15" customHeight="1" s="92">
      <c r="A22" s="169" t="inlineStr">
        <is>
          <t>API-5L-X65</t>
        </is>
      </c>
      <c r="B22" s="169" t="inlineStr">
        <is>
          <t>API 5L</t>
        </is>
      </c>
      <c r="C22" s="169" t="inlineStr">
        <is>
          <t>X65 PSL2</t>
        </is>
      </c>
      <c r="D22" s="169" t="inlineStr">
        <is>
          <t>Line pipe</t>
        </is>
      </c>
      <c r="E22" s="169" t="inlineStr">
        <is>
          <t>-</t>
        </is>
      </c>
      <c r="F22" s="169" t="inlineStr">
        <is>
          <t>CARBON_STEEL</t>
        </is>
      </c>
      <c r="G22" s="170">
        <f>IF(UNIT_SYSTEM="SI",IF(T22="","",T22),IF(U22="","",U22))</f>
        <v/>
      </c>
      <c r="H22" s="170">
        <f>IF(UNIT_SYSTEM="SI",IF(V22="","",V22),IF(W22="","",W22))</f>
        <v/>
      </c>
      <c r="I22" s="170">
        <f>IF(UNIT_SYSTEM="SI",IF(X22="","",X22),IF(Y22="","",Y22))</f>
        <v/>
      </c>
      <c r="J22" s="169" t="inlineStr">
        <is>
          <t>B</t>
        </is>
      </c>
      <c r="K22" s="169" t="inlineStr">
        <is>
          <t>C_MN_STEEL</t>
        </is>
      </c>
      <c r="L22" s="169" t="inlineStr">
        <is>
          <t>9F9M_X65_AIR</t>
        </is>
      </c>
      <c r="M22" s="169" t="inlineStr">
        <is>
          <t>9F42_ASME_XI_LOWER</t>
        </is>
      </c>
      <c r="N22" s="169">
        <f>IF(UNIT_SYSTEM="SI",IF(Z22="","",Z22),IF(AA22="","",AA22))</f>
        <v/>
      </c>
      <c r="O22" s="169">
        <f>IF(UNIT_SYSTEM="SI",IF(AB22="","",AB22),IF(AC22="","",AC22))</f>
        <v/>
      </c>
      <c r="P22" s="169" t="n"/>
      <c r="Q22" s="169">
        <f>IF(UNIT_SYSTEM="SI",IF(AD22="","",AD22),IF(AE22="","",AE22))</f>
        <v/>
      </c>
      <c r="R22" s="169" t="inlineStr">
        <is>
          <t>Exemption curve per API 579 Part 3 Table 3.2 (all pipe -&gt; B)</t>
        </is>
      </c>
      <c r="S22" s="169" t="n"/>
      <c r="T22" s="173" t="n">
        <v>450</v>
      </c>
      <c r="U22" s="174" t="n">
        <v>65.3</v>
      </c>
      <c r="V22" s="173" t="n">
        <v>535</v>
      </c>
      <c r="W22" s="174" t="n">
        <v>77.59999999999999</v>
      </c>
      <c r="X22" s="173" t="n">
        <v>200000</v>
      </c>
      <c r="Y22" s="175" t="n">
        <v>29007.5</v>
      </c>
      <c r="Z22" s="183" t="n"/>
      <c r="AA22" s="183" t="n"/>
      <c r="AB22" s="183" t="n"/>
      <c r="AC22" s="183" t="n"/>
      <c r="AD22" s="183" t="n"/>
      <c r="AE22" s="183" t="inlineStr">
        <is>
          <t>plane_strain</t>
        </is>
      </c>
    </row>
    <row r="23" ht="15" customHeight="1" s="92">
      <c r="A23" s="177" t="inlineStr">
        <is>
          <t>API-5L-X70</t>
        </is>
      </c>
      <c r="B23" s="177" t="inlineStr">
        <is>
          <t>API 5L</t>
        </is>
      </c>
      <c r="C23" s="177" t="inlineStr">
        <is>
          <t>X70 PSL2</t>
        </is>
      </c>
      <c r="D23" s="177" t="inlineStr">
        <is>
          <t>Line pipe</t>
        </is>
      </c>
      <c r="E23" s="177" t="inlineStr">
        <is>
          <t>-</t>
        </is>
      </c>
      <c r="F23" s="177" t="inlineStr">
        <is>
          <t>CARBON_STEEL</t>
        </is>
      </c>
      <c r="G23" s="178">
        <f>IF(UNIT_SYSTEM="SI",IF(T23="","",T23),IF(U23="","",U23))</f>
        <v/>
      </c>
      <c r="H23" s="178">
        <f>IF(UNIT_SYSTEM="SI",IF(V23="","",V23),IF(W23="","",W23))</f>
        <v/>
      </c>
      <c r="I23" s="178">
        <f>IF(UNIT_SYSTEM="SI",IF(X23="","",X23),IF(Y23="","",Y23))</f>
        <v/>
      </c>
      <c r="J23" s="177" t="inlineStr">
        <is>
          <t>B</t>
        </is>
      </c>
      <c r="K23" s="177" t="inlineStr">
        <is>
          <t>C_MN_STEEL</t>
        </is>
      </c>
      <c r="L23" s="177" t="inlineStr">
        <is>
          <t>9F4M_FERRITIC_PEARLITE_AIR</t>
        </is>
      </c>
      <c r="M23" s="177" t="inlineStr">
        <is>
          <t>9F42_ASME_XI_LOWER</t>
        </is>
      </c>
      <c r="N23" s="177">
        <f>IF(UNIT_SYSTEM="SI",IF(Z23="","",Z23),IF(AA23="","",AA23))</f>
        <v/>
      </c>
      <c r="O23" s="177">
        <f>IF(UNIT_SYSTEM="SI",IF(AB23="","",AB23),IF(AC23="","",AC23))</f>
        <v/>
      </c>
      <c r="P23" s="177" t="n"/>
      <c r="Q23" s="177">
        <f>IF(UNIT_SYSTEM="SI",IF(AD23="","",AD23),IF(AE23="","",AE23))</f>
        <v/>
      </c>
      <c r="R23" s="177" t="inlineStr">
        <is>
          <t>Exemption curve per API 579 Part 3 Table 3.2 (all pipe -&gt; B)</t>
        </is>
      </c>
      <c r="S23" s="177" t="n"/>
      <c r="T23" s="179" t="n">
        <v>485</v>
      </c>
      <c r="U23" s="180" t="n">
        <v>70.3</v>
      </c>
      <c r="V23" s="179" t="n">
        <v>570</v>
      </c>
      <c r="W23" s="180" t="n">
        <v>82.7</v>
      </c>
      <c r="X23" s="179" t="n">
        <v>200000</v>
      </c>
      <c r="Y23" s="181" t="n">
        <v>29007.5</v>
      </c>
      <c r="Z23" s="182" t="n"/>
      <c r="AA23" s="182" t="n"/>
      <c r="AB23" s="182" t="n"/>
      <c r="AC23" s="182" t="n"/>
      <c r="AD23" s="182" t="n"/>
      <c r="AE23" s="182" t="inlineStr">
        <is>
          <t>plane_strain</t>
        </is>
      </c>
    </row>
    <row r="24" ht="15" customHeight="1" s="92">
      <c r="A24" s="169" t="inlineStr">
        <is>
          <t>SA-387-11-CL2</t>
        </is>
      </c>
      <c r="B24" s="169" t="inlineStr">
        <is>
          <t>SA-387</t>
        </is>
      </c>
      <c r="C24" s="169" t="inlineStr">
        <is>
          <t>Gr 11 Cl 2</t>
        </is>
      </c>
      <c r="D24" s="169" t="inlineStr">
        <is>
          <t>Plate</t>
        </is>
      </c>
      <c r="E24" s="169" t="inlineStr">
        <is>
          <t>N&amp;T</t>
        </is>
      </c>
      <c r="F24" s="169" t="inlineStr">
        <is>
          <t>LOW_ALLOY_STEEL</t>
        </is>
      </c>
      <c r="G24" s="170">
        <f>IF(UNIT_SYSTEM="SI",IF(T24="","",T24),IF(U24="","",U24))</f>
        <v/>
      </c>
      <c r="H24" s="170">
        <f>IF(UNIT_SYSTEM="SI",IF(V24="","",V24),IF(W24="","",W24))</f>
        <v/>
      </c>
      <c r="I24" s="170">
        <f>IF(UNIT_SYSTEM="SI",IF(X24="","",X24),IF(Y24="","",Y24))</f>
        <v/>
      </c>
      <c r="J24" s="169" t="inlineStr">
        <is>
          <t>A</t>
        </is>
      </c>
      <c r="K24" s="169" t="inlineStr">
        <is>
          <t>FLOW_STRESS</t>
        </is>
      </c>
      <c r="L24" s="169" t="inlineStr">
        <is>
          <t>9F4M_FERRITIC_PEARLITE_AIR</t>
        </is>
      </c>
      <c r="M24" s="169" t="inlineStr">
        <is>
          <t>9F43_MASTER_CURVE</t>
        </is>
      </c>
      <c r="N24" s="169">
        <f>IF(UNIT_SYSTEM="SI",IF(Z24="","",Z24),IF(AA24="","",AA24))</f>
        <v/>
      </c>
      <c r="O24" s="169">
        <f>IF(UNIT_SYSTEM="SI",IF(AB24="","",AB24),IF(AC24="","",AC24))</f>
        <v/>
      </c>
      <c r="P24" s="169" t="n"/>
      <c r="Q24" s="169">
        <f>IF(UNIT_SYSTEM="SI",IF(AD24="","",AD24),IF(AE24="","",AE24))</f>
        <v/>
      </c>
      <c r="R24" s="169" t="inlineStr">
        <is>
          <t>Exemption curve per API 579 Part 3 Table 3.2 (not listed -&gt; A; B if fine-grain normalized)</t>
        </is>
      </c>
      <c r="S24" s="169" t="n"/>
      <c r="T24" s="173" t="n">
        <v>310</v>
      </c>
      <c r="U24" s="174" t="n">
        <v>45</v>
      </c>
      <c r="V24" s="173" t="n">
        <v>515</v>
      </c>
      <c r="W24" s="174" t="n">
        <v>75</v>
      </c>
      <c r="X24" s="173" t="n">
        <v>200000</v>
      </c>
      <c r="Y24" s="175" t="n">
        <v>29007.5</v>
      </c>
      <c r="Z24" s="183" t="n"/>
      <c r="AA24" s="183" t="n"/>
      <c r="AB24" s="183" t="n"/>
      <c r="AC24" s="183" t="n"/>
      <c r="AD24" s="183" t="n"/>
      <c r="AE24" s="183" t="inlineStr">
        <is>
          <t>plane_strain</t>
        </is>
      </c>
    </row>
    <row r="25" ht="15" customHeight="1" s="92">
      <c r="A25" s="177" t="inlineStr">
        <is>
          <t>SA-387-22-CL2</t>
        </is>
      </c>
      <c r="B25" s="177" t="inlineStr">
        <is>
          <t>SA-387</t>
        </is>
      </c>
      <c r="C25" s="177" t="inlineStr">
        <is>
          <t>Gr 22 Cl 2</t>
        </is>
      </c>
      <c r="D25" s="177" t="inlineStr">
        <is>
          <t>Plate</t>
        </is>
      </c>
      <c r="E25" s="177" t="inlineStr">
        <is>
          <t>N&amp;T</t>
        </is>
      </c>
      <c r="F25" s="177" t="inlineStr">
        <is>
          <t>LOW_ALLOY_STEEL</t>
        </is>
      </c>
      <c r="G25" s="178">
        <f>IF(UNIT_SYSTEM="SI",IF(T25="","",T25),IF(U25="","",U25))</f>
        <v/>
      </c>
      <c r="H25" s="178">
        <f>IF(UNIT_SYSTEM="SI",IF(V25="","",V25),IF(W25="","",W25))</f>
        <v/>
      </c>
      <c r="I25" s="178">
        <f>IF(UNIT_SYSTEM="SI",IF(X25="","",X25),IF(Y25="","",Y25))</f>
        <v/>
      </c>
      <c r="J25" s="177" t="inlineStr">
        <is>
          <t>C</t>
        </is>
      </c>
      <c r="K25" s="177" t="inlineStr">
        <is>
          <t>FLOW_STRESS</t>
        </is>
      </c>
      <c r="L25" s="177" t="inlineStr">
        <is>
          <t>9F4M_FERRITIC_PEARLITE_AIR</t>
        </is>
      </c>
      <c r="M25" s="177" t="inlineStr">
        <is>
          <t>9F43_MASTER_CURVE</t>
        </is>
      </c>
      <c r="N25" s="177">
        <f>IF(UNIT_SYSTEM="SI",IF(Z25="","",Z25),IF(AA25="","",AA25))</f>
        <v/>
      </c>
      <c r="O25" s="177">
        <f>IF(UNIT_SYSTEM="SI",IF(AB25="","",AB25),IF(AC25="","",AC25))</f>
        <v/>
      </c>
      <c r="P25" s="177" t="n"/>
      <c r="Q25" s="177">
        <f>IF(UNIT_SYSTEM="SI",IF(AD25="","",AD25),IF(AE25="","",AE25))</f>
        <v/>
      </c>
      <c r="R25" s="177" t="inlineStr">
        <is>
          <t>Exemption curve per API 579 Part 3 Table 3.2 (Gr 22 N&amp;T -&gt; C)</t>
        </is>
      </c>
      <c r="S25" s="177" t="n"/>
      <c r="T25" s="179" t="n">
        <v>310</v>
      </c>
      <c r="U25" s="180" t="n">
        <v>45</v>
      </c>
      <c r="V25" s="179" t="n">
        <v>515</v>
      </c>
      <c r="W25" s="180" t="n">
        <v>75</v>
      </c>
      <c r="X25" s="179" t="n">
        <v>200000</v>
      </c>
      <c r="Y25" s="181" t="n">
        <v>29007.5</v>
      </c>
      <c r="Z25" s="182" t="n"/>
      <c r="AA25" s="182" t="n"/>
      <c r="AB25" s="182" t="n"/>
      <c r="AC25" s="182" t="n"/>
      <c r="AD25" s="182" t="n"/>
      <c r="AE25" s="182" t="inlineStr">
        <is>
          <t>plane_strain</t>
        </is>
      </c>
    </row>
    <row r="26" ht="15" customHeight="1" s="92">
      <c r="A26" s="169" t="inlineStr">
        <is>
          <t>SA-335-P11</t>
        </is>
      </c>
      <c r="B26" s="169" t="inlineStr">
        <is>
          <t>SA-335</t>
        </is>
      </c>
      <c r="C26" s="169" t="inlineStr">
        <is>
          <t>P11</t>
        </is>
      </c>
      <c r="D26" s="169" t="inlineStr">
        <is>
          <t>Seamless pipe</t>
        </is>
      </c>
      <c r="E26" s="169" t="inlineStr">
        <is>
          <t>-</t>
        </is>
      </c>
      <c r="F26" s="169" t="inlineStr">
        <is>
          <t>LOW_ALLOY_STEEL</t>
        </is>
      </c>
      <c r="G26" s="170">
        <f>IF(UNIT_SYSTEM="SI",IF(T26="","",T26),IF(U26="","",U26))</f>
        <v/>
      </c>
      <c r="H26" s="170">
        <f>IF(UNIT_SYSTEM="SI",IF(V26="","",V26),IF(W26="","",W26))</f>
        <v/>
      </c>
      <c r="I26" s="170">
        <f>IF(UNIT_SYSTEM="SI",IF(X26="","",X26),IF(Y26="","",Y26))</f>
        <v/>
      </c>
      <c r="J26" s="169" t="inlineStr">
        <is>
          <t>B</t>
        </is>
      </c>
      <c r="K26" s="169" t="inlineStr">
        <is>
          <t>FLOW_STRESS</t>
        </is>
      </c>
      <c r="L26" s="169" t="inlineStr">
        <is>
          <t>9F4M_FERRITIC_PEARLITE_AIR</t>
        </is>
      </c>
      <c r="M26" s="169" t="inlineStr">
        <is>
          <t>9F43_MASTER_CURVE</t>
        </is>
      </c>
      <c r="N26" s="169">
        <f>IF(UNIT_SYSTEM="SI",IF(Z26="","",Z26),IF(AA26="","",AA26))</f>
        <v/>
      </c>
      <c r="O26" s="169">
        <f>IF(UNIT_SYSTEM="SI",IF(AB26="","",AB26),IF(AC26="","",AC26))</f>
        <v/>
      </c>
      <c r="P26" s="169" t="n"/>
      <c r="Q26" s="169">
        <f>IF(UNIT_SYSTEM="SI",IF(AD26="","",AD26),IF(AE26="","",AE26))</f>
        <v/>
      </c>
      <c r="R26" s="169" t="inlineStr">
        <is>
          <t>Exemption curve per API 579 Part 3 Table 3.2 (all pipe -&gt; B)</t>
        </is>
      </c>
      <c r="S26" s="169" t="n"/>
      <c r="T26" s="173" t="n">
        <v>205</v>
      </c>
      <c r="U26" s="174" t="n">
        <v>30</v>
      </c>
      <c r="V26" s="173" t="n">
        <v>415</v>
      </c>
      <c r="W26" s="174" t="n">
        <v>60</v>
      </c>
      <c r="X26" s="173" t="n">
        <v>200000</v>
      </c>
      <c r="Y26" s="175" t="n">
        <v>29007.5</v>
      </c>
      <c r="Z26" s="183" t="n"/>
      <c r="AA26" s="183" t="n"/>
      <c r="AB26" s="183" t="n"/>
      <c r="AC26" s="183" t="n"/>
      <c r="AD26" s="183" t="n"/>
      <c r="AE26" s="183" t="inlineStr">
        <is>
          <t>plane_strain</t>
        </is>
      </c>
    </row>
    <row r="27" ht="15" customHeight="1" s="92">
      <c r="A27" s="177" t="inlineStr">
        <is>
          <t>SA-335-P22</t>
        </is>
      </c>
      <c r="B27" s="177" t="inlineStr">
        <is>
          <t>SA-335</t>
        </is>
      </c>
      <c r="C27" s="177" t="inlineStr">
        <is>
          <t>P22</t>
        </is>
      </c>
      <c r="D27" s="177" t="inlineStr">
        <is>
          <t>Seamless pipe</t>
        </is>
      </c>
      <c r="E27" s="177" t="inlineStr">
        <is>
          <t>-</t>
        </is>
      </c>
      <c r="F27" s="177" t="inlineStr">
        <is>
          <t>LOW_ALLOY_STEEL</t>
        </is>
      </c>
      <c r="G27" s="178">
        <f>IF(UNIT_SYSTEM="SI",IF(T27="","",T27),IF(U27="","",U27))</f>
        <v/>
      </c>
      <c r="H27" s="178">
        <f>IF(UNIT_SYSTEM="SI",IF(V27="","",V27),IF(W27="","",W27))</f>
        <v/>
      </c>
      <c r="I27" s="178">
        <f>IF(UNIT_SYSTEM="SI",IF(X27="","",X27),IF(Y27="","",Y27))</f>
        <v/>
      </c>
      <c r="J27" s="177" t="inlineStr">
        <is>
          <t>B</t>
        </is>
      </c>
      <c r="K27" s="177" t="inlineStr">
        <is>
          <t>FLOW_STRESS</t>
        </is>
      </c>
      <c r="L27" s="177" t="inlineStr">
        <is>
          <t>9F4M_FERRITIC_PEARLITE_AIR</t>
        </is>
      </c>
      <c r="M27" s="177" t="inlineStr">
        <is>
          <t>9F43_MASTER_CURVE</t>
        </is>
      </c>
      <c r="N27" s="177">
        <f>IF(UNIT_SYSTEM="SI",IF(Z27="","",Z27),IF(AA27="","",AA27))</f>
        <v/>
      </c>
      <c r="O27" s="177">
        <f>IF(UNIT_SYSTEM="SI",IF(AB27="","",AB27),IF(AC27="","",AC27))</f>
        <v/>
      </c>
      <c r="P27" s="177" t="n"/>
      <c r="Q27" s="177">
        <f>IF(UNIT_SYSTEM="SI",IF(AD27="","",AD27),IF(AE27="","",AE27))</f>
        <v/>
      </c>
      <c r="R27" s="177" t="inlineStr">
        <is>
          <t>Exemption curve per API 579 Part 3 Table 3.2 (all pipe -&gt; B)</t>
        </is>
      </c>
      <c r="S27" s="177" t="n"/>
      <c r="T27" s="179" t="n">
        <v>205</v>
      </c>
      <c r="U27" s="180" t="n">
        <v>30</v>
      </c>
      <c r="V27" s="179" t="n">
        <v>415</v>
      </c>
      <c r="W27" s="180" t="n">
        <v>60</v>
      </c>
      <c r="X27" s="179" t="n">
        <v>200000</v>
      </c>
      <c r="Y27" s="181" t="n">
        <v>29007.5</v>
      </c>
      <c r="Z27" s="182" t="n"/>
      <c r="AA27" s="182" t="n"/>
      <c r="AB27" s="182" t="n"/>
      <c r="AC27" s="182" t="n"/>
      <c r="AD27" s="182" t="n"/>
      <c r="AE27" s="182" t="inlineStr">
        <is>
          <t>plane_strain</t>
        </is>
      </c>
    </row>
    <row r="28" ht="15" customHeight="1" s="92">
      <c r="A28" s="169" t="inlineStr">
        <is>
          <t>SA-182-F22-CL3</t>
        </is>
      </c>
      <c r="B28" s="169" t="inlineStr">
        <is>
          <t>SA-182</t>
        </is>
      </c>
      <c r="C28" s="169" t="inlineStr">
        <is>
          <t>F22 Cl 3</t>
        </is>
      </c>
      <c r="D28" s="169" t="inlineStr">
        <is>
          <t>Forging</t>
        </is>
      </c>
      <c r="E28" s="169" t="inlineStr">
        <is>
          <t>N&amp;T</t>
        </is>
      </c>
      <c r="F28" s="169" t="inlineStr">
        <is>
          <t>LOW_ALLOY_STEEL</t>
        </is>
      </c>
      <c r="G28" s="170">
        <f>IF(UNIT_SYSTEM="SI",IF(T28="","",T28),IF(U28="","",U28))</f>
        <v/>
      </c>
      <c r="H28" s="170">
        <f>IF(UNIT_SYSTEM="SI",IF(V28="","",V28),IF(W28="","",W28))</f>
        <v/>
      </c>
      <c r="I28" s="170">
        <f>IF(UNIT_SYSTEM="SI",IF(X28="","",X28),IF(Y28="","",Y28))</f>
        <v/>
      </c>
      <c r="J28" s="169" t="inlineStr">
        <is>
          <t>C</t>
        </is>
      </c>
      <c r="K28" s="169" t="inlineStr">
        <is>
          <t>FLOW_STRESS</t>
        </is>
      </c>
      <c r="L28" s="169" t="inlineStr">
        <is>
          <t>9F4M_FERRITIC_PEARLITE_AIR</t>
        </is>
      </c>
      <c r="M28" s="169" t="inlineStr">
        <is>
          <t>9F43_MASTER_CURVE</t>
        </is>
      </c>
      <c r="N28" s="169">
        <f>IF(UNIT_SYSTEM="SI",IF(Z28="","",Z28),IF(AA28="","",AA28))</f>
        <v/>
      </c>
      <c r="O28" s="169">
        <f>IF(UNIT_SYSTEM="SI",IF(AB28="","",AB28),IF(AC28="","",AC28))</f>
        <v/>
      </c>
      <c r="P28" s="169" t="n"/>
      <c r="Q28" s="169">
        <f>IF(UNIT_SYSTEM="SI",IF(AD28="","",AD28),IF(AE28="","",AE28))</f>
        <v/>
      </c>
      <c r="R28" s="169" t="inlineStr">
        <is>
          <t>Exemption curve per API 579 Part 3 Table 3.2 (F22 N&amp;T -&gt; C)</t>
        </is>
      </c>
      <c r="S28" s="169" t="n"/>
      <c r="T28" s="173" t="n">
        <v>310</v>
      </c>
      <c r="U28" s="174" t="n">
        <v>45</v>
      </c>
      <c r="V28" s="173" t="n">
        <v>515</v>
      </c>
      <c r="W28" s="174" t="n">
        <v>75</v>
      </c>
      <c r="X28" s="173" t="n">
        <v>200000</v>
      </c>
      <c r="Y28" s="175" t="n">
        <v>29007.5</v>
      </c>
      <c r="Z28" s="183" t="n"/>
      <c r="AA28" s="183" t="n"/>
      <c r="AB28" s="183" t="n"/>
      <c r="AC28" s="183" t="n"/>
      <c r="AD28" s="183" t="n"/>
      <c r="AE28" s="183" t="inlineStr">
        <is>
          <t>plane_strain</t>
        </is>
      </c>
    </row>
    <row r="29" ht="15" customHeight="1" s="92">
      <c r="A29" s="177" t="inlineStr">
        <is>
          <t>SA-508-3-CL1</t>
        </is>
      </c>
      <c r="B29" s="177" t="inlineStr">
        <is>
          <t>SA-508</t>
        </is>
      </c>
      <c r="C29" s="177" t="inlineStr">
        <is>
          <t>Gr 3 Cl 1</t>
        </is>
      </c>
      <c r="D29" s="177" t="inlineStr">
        <is>
          <t>Forging</t>
        </is>
      </c>
      <c r="E29" s="177" t="inlineStr">
        <is>
          <t>Q&amp;T</t>
        </is>
      </c>
      <c r="F29" s="177" t="inlineStr">
        <is>
          <t>LOW_ALLOY_STEEL</t>
        </is>
      </c>
      <c r="G29" s="178">
        <f>IF(UNIT_SYSTEM="SI",IF(T29="","",T29),IF(U29="","",U29))</f>
        <v/>
      </c>
      <c r="H29" s="178">
        <f>IF(UNIT_SYSTEM="SI",IF(V29="","",V29),IF(W29="","",W29))</f>
        <v/>
      </c>
      <c r="I29" s="178">
        <f>IF(UNIT_SYSTEM="SI",IF(X29="","",X29),IF(Y29="","",Y29))</f>
        <v/>
      </c>
      <c r="J29" s="177" t="inlineStr">
        <is>
          <t>B</t>
        </is>
      </c>
      <c r="K29" s="177" t="inlineStr">
        <is>
          <t>ASTM_A508</t>
        </is>
      </c>
      <c r="L29" s="177" t="inlineStr">
        <is>
          <t>9F4M_FERRITIC_PEARLITE_AIR</t>
        </is>
      </c>
      <c r="M29" s="177" t="inlineStr">
        <is>
          <t>9F43_MASTER_CURVE</t>
        </is>
      </c>
      <c r="N29" s="177">
        <f>IF(UNIT_SYSTEM="SI",IF(Z29="","",Z29),IF(AA29="","",AA29))</f>
        <v/>
      </c>
      <c r="O29" s="177">
        <f>IF(UNIT_SYSTEM="SI",IF(AB29="","",AB29),IF(AC29="","",AC29))</f>
        <v/>
      </c>
      <c r="P29" s="177" t="n"/>
      <c r="Q29" s="177">
        <f>IF(UNIT_SYSTEM="SI",IF(AD29="","",AD29),IF(AE29="","",AE29))</f>
        <v/>
      </c>
      <c r="R29" s="177" t="inlineStr">
        <is>
          <t>Exemption curve per API 579 Part 3 Table 3.2 (SA-508 Cl 1 is D; Gr 3 forgings -&gt; B)</t>
        </is>
      </c>
      <c r="S29" s="177" t="n"/>
      <c r="T29" s="179" t="n">
        <v>345</v>
      </c>
      <c r="U29" s="180" t="n">
        <v>50</v>
      </c>
      <c r="V29" s="179" t="n">
        <v>550</v>
      </c>
      <c r="W29" s="180" t="n">
        <v>80</v>
      </c>
      <c r="X29" s="179" t="n">
        <v>200000</v>
      </c>
      <c r="Y29" s="181" t="n">
        <v>29007.5</v>
      </c>
      <c r="Z29" s="182" t="n"/>
      <c r="AA29" s="182" t="n"/>
      <c r="AB29" s="182" t="n"/>
      <c r="AC29" s="182" t="n"/>
      <c r="AD29" s="182" t="n"/>
      <c r="AE29" s="182" t="inlineStr">
        <is>
          <t>plane_strain</t>
        </is>
      </c>
    </row>
    <row r="30" ht="15" customHeight="1" s="92">
      <c r="A30" s="169" t="inlineStr">
        <is>
          <t>SA-533-B-CL1</t>
        </is>
      </c>
      <c r="B30" s="169" t="inlineStr">
        <is>
          <t>SA-533</t>
        </is>
      </c>
      <c r="C30" s="169" t="inlineStr">
        <is>
          <t>Type B Cl 1</t>
        </is>
      </c>
      <c r="D30" s="169" t="inlineStr">
        <is>
          <t>Plate</t>
        </is>
      </c>
      <c r="E30" s="169" t="inlineStr">
        <is>
          <t>Q&amp;T</t>
        </is>
      </c>
      <c r="F30" s="169" t="inlineStr">
        <is>
          <t>LOW_ALLOY_STEEL</t>
        </is>
      </c>
      <c r="G30" s="170">
        <f>IF(UNIT_SYSTEM="SI",IF(T30="","",T30),IF(U30="","",U30))</f>
        <v/>
      </c>
      <c r="H30" s="170">
        <f>IF(UNIT_SYSTEM="SI",IF(V30="","",V30),IF(W30="","",W30))</f>
        <v/>
      </c>
      <c r="I30" s="170">
        <f>IF(UNIT_SYSTEM="SI",IF(X30="","",X30),IF(Y30="","",Y30))</f>
        <v/>
      </c>
      <c r="J30" s="169" t="inlineStr">
        <is>
          <t>C</t>
        </is>
      </c>
      <c r="K30" s="169" t="inlineStr">
        <is>
          <t>FLOW_STRESS</t>
        </is>
      </c>
      <c r="L30" s="169" t="inlineStr">
        <is>
          <t>9F4M_FERRITIC_PEARLITE_AIR</t>
        </is>
      </c>
      <c r="M30" s="169" t="inlineStr">
        <is>
          <t>9F43_MASTER_CURVE</t>
        </is>
      </c>
      <c r="N30" s="169">
        <f>IF(UNIT_SYSTEM="SI",IF(Z30="","",Z30),IF(AA30="","",AA30))</f>
        <v/>
      </c>
      <c r="O30" s="169">
        <f>IF(UNIT_SYSTEM="SI",IF(AB30="","",AB30),IF(AC30="","",AC30))</f>
        <v/>
      </c>
      <c r="P30" s="169" t="n"/>
      <c r="Q30" s="169">
        <f>IF(UNIT_SYSTEM="SI",IF(AD30="","",AD30),IF(AE30="","",AE30))</f>
        <v/>
      </c>
      <c r="R30" s="169" t="inlineStr">
        <is>
          <t>Exemption curve per API 579 Part 3 Table 3.2</t>
        </is>
      </c>
      <c r="S30" s="169" t="n"/>
      <c r="T30" s="173" t="n">
        <v>345</v>
      </c>
      <c r="U30" s="174" t="n">
        <v>50</v>
      </c>
      <c r="V30" s="173" t="n">
        <v>550</v>
      </c>
      <c r="W30" s="174" t="n">
        <v>80</v>
      </c>
      <c r="X30" s="173" t="n">
        <v>200000</v>
      </c>
      <c r="Y30" s="175" t="n">
        <v>29007.5</v>
      </c>
      <c r="Z30" s="183" t="n"/>
      <c r="AA30" s="183" t="n"/>
      <c r="AB30" s="183" t="n"/>
      <c r="AC30" s="183" t="n"/>
      <c r="AD30" s="183" t="n"/>
      <c r="AE30" s="183" t="inlineStr">
        <is>
          <t>plane_strain</t>
        </is>
      </c>
    </row>
    <row r="31" ht="15" customHeight="1" s="92">
      <c r="A31" s="177" t="inlineStr">
        <is>
          <t>SA-240-304</t>
        </is>
      </c>
      <c r="B31" s="177" t="inlineStr">
        <is>
          <t>SA-240</t>
        </is>
      </c>
      <c r="C31" s="178" t="n">
        <v>304</v>
      </c>
      <c r="D31" s="177" t="inlineStr">
        <is>
          <t>Plate</t>
        </is>
      </c>
      <c r="E31" s="177" t="inlineStr">
        <is>
          <t>Solution annealed</t>
        </is>
      </c>
      <c r="F31" s="177" t="inlineStr">
        <is>
          <t>AUSTENITIC_SS</t>
        </is>
      </c>
      <c r="G31" s="178">
        <f>IF(UNIT_SYSTEM="SI",IF(T31="","",T31),IF(U31="","",U31))</f>
        <v/>
      </c>
      <c r="H31" s="178">
        <f>IF(UNIT_SYSTEM="SI",IF(V31="","",V31),IF(W31="","",W31))</f>
        <v/>
      </c>
      <c r="I31" s="178">
        <f>IF(UNIT_SYSTEM="SI",IF(X31="","",X31),IF(Y31="","",Y31))</f>
        <v/>
      </c>
      <c r="J31" s="177" t="inlineStr">
        <is>
          <t>N/A</t>
        </is>
      </c>
      <c r="K31" s="177" t="inlineStr">
        <is>
          <t>AUSTENITIC_SS</t>
        </is>
      </c>
      <c r="L31" s="177" t="inlineStr">
        <is>
          <t>9F4M_AUSTENITIC_SS_AIR</t>
        </is>
      </c>
      <c r="M31" s="177" t="inlineStr">
        <is>
          <t>9F412_AUSTENITIC_JC</t>
        </is>
      </c>
      <c r="N31" s="177">
        <f>IF(UNIT_SYSTEM="SI",IF(Z31="","",Z31),IF(AA31="","",AA31))</f>
        <v/>
      </c>
      <c r="O31" s="177">
        <f>IF(UNIT_SYSTEM="SI",IF(AB31="","",AB31),IF(AC31="","",AC31))</f>
        <v/>
      </c>
      <c r="P31" s="177" t="n"/>
      <c r="Q31" s="177">
        <f>IF(UNIT_SYSTEM="SI",IF(AD31="","",AD31),IF(AE31="","",AE31))</f>
        <v/>
      </c>
      <c r="R31" s="177" t="inlineStr">
        <is>
          <t>Austenitic: no exemption curve</t>
        </is>
      </c>
      <c r="S31" s="177" t="n"/>
      <c r="T31" s="179" t="n">
        <v>205</v>
      </c>
      <c r="U31" s="180" t="n">
        <v>30</v>
      </c>
      <c r="V31" s="179" t="n">
        <v>515</v>
      </c>
      <c r="W31" s="180" t="n">
        <v>75</v>
      </c>
      <c r="X31" s="179" t="n">
        <v>195000</v>
      </c>
      <c r="Y31" s="181" t="n">
        <v>28282.4</v>
      </c>
      <c r="Z31" s="182" t="n"/>
      <c r="AA31" s="182" t="n"/>
      <c r="AB31" s="182" t="n"/>
      <c r="AC31" s="182" t="n"/>
      <c r="AD31" s="182" t="n"/>
      <c r="AE31" s="182" t="inlineStr">
        <is>
          <t>plane_strain</t>
        </is>
      </c>
    </row>
    <row r="32" ht="15" customHeight="1" s="92">
      <c r="A32" s="169" t="inlineStr">
        <is>
          <t>SA-240-304L</t>
        </is>
      </c>
      <c r="B32" s="169" t="inlineStr">
        <is>
          <t>SA-240</t>
        </is>
      </c>
      <c r="C32" s="169" t="inlineStr">
        <is>
          <t>304L</t>
        </is>
      </c>
      <c r="D32" s="169" t="inlineStr">
        <is>
          <t>Plate</t>
        </is>
      </c>
      <c r="E32" s="169" t="inlineStr">
        <is>
          <t>Solution annealed</t>
        </is>
      </c>
      <c r="F32" s="169" t="inlineStr">
        <is>
          <t>AUSTENITIC_SS</t>
        </is>
      </c>
      <c r="G32" s="170">
        <f>IF(UNIT_SYSTEM="SI",IF(T32="","",T32),IF(U32="","",U32))</f>
        <v/>
      </c>
      <c r="H32" s="170">
        <f>IF(UNIT_SYSTEM="SI",IF(V32="","",V32),IF(W32="","",W32))</f>
        <v/>
      </c>
      <c r="I32" s="170">
        <f>IF(UNIT_SYSTEM="SI",IF(X32="","",X32),IF(Y32="","",Y32))</f>
        <v/>
      </c>
      <c r="J32" s="169" t="inlineStr">
        <is>
          <t>N/A</t>
        </is>
      </c>
      <c r="K32" s="169" t="inlineStr">
        <is>
          <t>AUSTENITIC_SS</t>
        </is>
      </c>
      <c r="L32" s="169" t="inlineStr">
        <is>
          <t>9F4M_AUSTENITIC_SS_AIR</t>
        </is>
      </c>
      <c r="M32" s="169" t="inlineStr">
        <is>
          <t>9F412_AUSTENITIC_JC</t>
        </is>
      </c>
      <c r="N32" s="169">
        <f>IF(UNIT_SYSTEM="SI",IF(Z32="","",Z32),IF(AA32="","",AA32))</f>
        <v/>
      </c>
      <c r="O32" s="169">
        <f>IF(UNIT_SYSTEM="SI",IF(AB32="","",AB32),IF(AC32="","",AC32))</f>
        <v/>
      </c>
      <c r="P32" s="169" t="n"/>
      <c r="Q32" s="169">
        <f>IF(UNIT_SYSTEM="SI",IF(AD32="","",AD32),IF(AE32="","",AE32))</f>
        <v/>
      </c>
      <c r="R32" s="169" t="inlineStr">
        <is>
          <t>Austenitic: no exemption curve</t>
        </is>
      </c>
      <c r="S32" s="169" t="n"/>
      <c r="T32" s="173" t="n">
        <v>170</v>
      </c>
      <c r="U32" s="174" t="n">
        <v>25</v>
      </c>
      <c r="V32" s="173" t="n">
        <v>485</v>
      </c>
      <c r="W32" s="174" t="n">
        <v>70</v>
      </c>
      <c r="X32" s="173" t="n">
        <v>195000</v>
      </c>
      <c r="Y32" s="175" t="n">
        <v>28282.4</v>
      </c>
      <c r="Z32" s="183" t="n"/>
      <c r="AA32" s="183" t="n"/>
      <c r="AB32" s="183" t="n"/>
      <c r="AC32" s="183" t="n"/>
      <c r="AD32" s="183" t="n"/>
      <c r="AE32" s="183" t="inlineStr">
        <is>
          <t>plane_strain</t>
        </is>
      </c>
    </row>
    <row r="33" ht="15" customHeight="1" s="92">
      <c r="A33" s="177" t="inlineStr">
        <is>
          <t>SA-240-316</t>
        </is>
      </c>
      <c r="B33" s="177" t="inlineStr">
        <is>
          <t>SA-240</t>
        </is>
      </c>
      <c r="C33" s="178" t="n">
        <v>316</v>
      </c>
      <c r="D33" s="177" t="inlineStr">
        <is>
          <t>Plate</t>
        </is>
      </c>
      <c r="E33" s="177" t="inlineStr">
        <is>
          <t>Solution annealed</t>
        </is>
      </c>
      <c r="F33" s="177" t="inlineStr">
        <is>
          <t>AUSTENITIC_SS</t>
        </is>
      </c>
      <c r="G33" s="178">
        <f>IF(UNIT_SYSTEM="SI",IF(T33="","",T33),IF(U33="","",U33))</f>
        <v/>
      </c>
      <c r="H33" s="178">
        <f>IF(UNIT_SYSTEM="SI",IF(V33="","",V33),IF(W33="","",W33))</f>
        <v/>
      </c>
      <c r="I33" s="178">
        <f>IF(UNIT_SYSTEM="SI",IF(X33="","",X33),IF(Y33="","",Y33))</f>
        <v/>
      </c>
      <c r="J33" s="177" t="inlineStr">
        <is>
          <t>N/A</t>
        </is>
      </c>
      <c r="K33" s="177" t="inlineStr">
        <is>
          <t>AUSTENITIC_SS</t>
        </is>
      </c>
      <c r="L33" s="177" t="inlineStr">
        <is>
          <t>9F4M_AUSTENITIC_SS_AIR</t>
        </is>
      </c>
      <c r="M33" s="177" t="inlineStr">
        <is>
          <t>9F412_AUSTENITIC_JC</t>
        </is>
      </c>
      <c r="N33" s="177">
        <f>IF(UNIT_SYSTEM="SI",IF(Z33="","",Z33),IF(AA33="","",AA33))</f>
        <v/>
      </c>
      <c r="O33" s="177">
        <f>IF(UNIT_SYSTEM="SI",IF(AB33="","",AB33),IF(AC33="","",AC33))</f>
        <v/>
      </c>
      <c r="P33" s="177" t="n"/>
      <c r="Q33" s="177">
        <f>IF(UNIT_SYSTEM="SI",IF(AD33="","",AD33),IF(AE33="","",AE33))</f>
        <v/>
      </c>
      <c r="R33" s="177" t="inlineStr">
        <is>
          <t>Austenitic: no exemption curve</t>
        </is>
      </c>
      <c r="S33" s="177" t="n"/>
      <c r="T33" s="179" t="n">
        <v>205</v>
      </c>
      <c r="U33" s="180" t="n">
        <v>30</v>
      </c>
      <c r="V33" s="179" t="n">
        <v>515</v>
      </c>
      <c r="W33" s="180" t="n">
        <v>75</v>
      </c>
      <c r="X33" s="179" t="n">
        <v>195000</v>
      </c>
      <c r="Y33" s="181" t="n">
        <v>28282.4</v>
      </c>
      <c r="Z33" s="182" t="n"/>
      <c r="AA33" s="182" t="n"/>
      <c r="AB33" s="182" t="n"/>
      <c r="AC33" s="182" t="n"/>
      <c r="AD33" s="182" t="n"/>
      <c r="AE33" s="182" t="inlineStr">
        <is>
          <t>plane_strain</t>
        </is>
      </c>
    </row>
    <row r="34" ht="15" customHeight="1" s="92">
      <c r="A34" s="169" t="inlineStr">
        <is>
          <t>SA-240-316L</t>
        </is>
      </c>
      <c r="B34" s="169" t="inlineStr">
        <is>
          <t>SA-240</t>
        </is>
      </c>
      <c r="C34" s="169" t="inlineStr">
        <is>
          <t>316L</t>
        </is>
      </c>
      <c r="D34" s="169" t="inlineStr">
        <is>
          <t>Plate</t>
        </is>
      </c>
      <c r="E34" s="169" t="inlineStr">
        <is>
          <t>Solution annealed</t>
        </is>
      </c>
      <c r="F34" s="169" t="inlineStr">
        <is>
          <t>AUSTENITIC_SS</t>
        </is>
      </c>
      <c r="G34" s="170">
        <f>IF(UNIT_SYSTEM="SI",IF(T34="","",T34),IF(U34="","",U34))</f>
        <v/>
      </c>
      <c r="H34" s="170">
        <f>IF(UNIT_SYSTEM="SI",IF(V34="","",V34),IF(W34="","",W34))</f>
        <v/>
      </c>
      <c r="I34" s="170">
        <f>IF(UNIT_SYSTEM="SI",IF(X34="","",X34),IF(Y34="","",Y34))</f>
        <v/>
      </c>
      <c r="J34" s="169" t="inlineStr">
        <is>
          <t>N/A</t>
        </is>
      </c>
      <c r="K34" s="169" t="inlineStr">
        <is>
          <t>AUSTENITIC_SS</t>
        </is>
      </c>
      <c r="L34" s="169" t="inlineStr">
        <is>
          <t>9F4M_AUSTENITIC_SS_AIR</t>
        </is>
      </c>
      <c r="M34" s="169" t="inlineStr">
        <is>
          <t>9F412_AUSTENITIC_JC</t>
        </is>
      </c>
      <c r="N34" s="169">
        <f>IF(UNIT_SYSTEM="SI",IF(Z34="","",Z34),IF(AA34="","",AA34))</f>
        <v/>
      </c>
      <c r="O34" s="169">
        <f>IF(UNIT_SYSTEM="SI",IF(AB34="","",AB34),IF(AC34="","",AC34))</f>
        <v/>
      </c>
      <c r="P34" s="169" t="n"/>
      <c r="Q34" s="169">
        <f>IF(UNIT_SYSTEM="SI",IF(AD34="","",AD34),IF(AE34="","",AE34))</f>
        <v/>
      </c>
      <c r="R34" s="169" t="inlineStr">
        <is>
          <t>Austenitic: no exemption curve</t>
        </is>
      </c>
      <c r="S34" s="169" t="n"/>
      <c r="T34" s="173" t="n">
        <v>170</v>
      </c>
      <c r="U34" s="174" t="n">
        <v>25</v>
      </c>
      <c r="V34" s="173" t="n">
        <v>485</v>
      </c>
      <c r="W34" s="174" t="n">
        <v>70</v>
      </c>
      <c r="X34" s="173" t="n">
        <v>195000</v>
      </c>
      <c r="Y34" s="175" t="n">
        <v>28282.4</v>
      </c>
      <c r="Z34" s="183" t="n"/>
      <c r="AA34" s="183" t="n"/>
      <c r="AB34" s="183" t="n"/>
      <c r="AC34" s="183" t="n"/>
      <c r="AD34" s="183" t="n"/>
      <c r="AE34" s="183" t="inlineStr">
        <is>
          <t>plane_strain</t>
        </is>
      </c>
    </row>
    <row r="35" ht="15" customHeight="1" s="92">
      <c r="A35" s="177" t="inlineStr">
        <is>
          <t>SA-240-321</t>
        </is>
      </c>
      <c r="B35" s="177" t="inlineStr">
        <is>
          <t>SA-240</t>
        </is>
      </c>
      <c r="C35" s="178" t="n">
        <v>321</v>
      </c>
      <c r="D35" s="177" t="inlineStr">
        <is>
          <t>Plate</t>
        </is>
      </c>
      <c r="E35" s="177" t="inlineStr">
        <is>
          <t>Solution annealed</t>
        </is>
      </c>
      <c r="F35" s="177" t="inlineStr">
        <is>
          <t>AUSTENITIC_SS</t>
        </is>
      </c>
      <c r="G35" s="178">
        <f>IF(UNIT_SYSTEM="SI",IF(T35="","",T35),IF(U35="","",U35))</f>
        <v/>
      </c>
      <c r="H35" s="178">
        <f>IF(UNIT_SYSTEM="SI",IF(V35="","",V35),IF(W35="","",W35))</f>
        <v/>
      </c>
      <c r="I35" s="178">
        <f>IF(UNIT_SYSTEM="SI",IF(X35="","",X35),IF(Y35="","",Y35))</f>
        <v/>
      </c>
      <c r="J35" s="177" t="inlineStr">
        <is>
          <t>N/A</t>
        </is>
      </c>
      <c r="K35" s="177" t="inlineStr">
        <is>
          <t>AUSTENITIC_SS</t>
        </is>
      </c>
      <c r="L35" s="177" t="inlineStr">
        <is>
          <t>9F4M_AUSTENITIC_SS_AIR</t>
        </is>
      </c>
      <c r="M35" s="177" t="inlineStr">
        <is>
          <t>9F412_AUSTENITIC_JC</t>
        </is>
      </c>
      <c r="N35" s="177">
        <f>IF(UNIT_SYSTEM="SI",IF(Z35="","",Z35),IF(AA35="","",AA35))</f>
        <v/>
      </c>
      <c r="O35" s="177">
        <f>IF(UNIT_SYSTEM="SI",IF(AB35="","",AB35),IF(AC35="","",AC35))</f>
        <v/>
      </c>
      <c r="P35" s="177" t="n"/>
      <c r="Q35" s="177">
        <f>IF(UNIT_SYSTEM="SI",IF(AD35="","",AD35),IF(AE35="","",AE35))</f>
        <v/>
      </c>
      <c r="R35" s="177" t="inlineStr">
        <is>
          <t>Austenitic: no exemption curve</t>
        </is>
      </c>
      <c r="S35" s="177" t="n"/>
      <c r="T35" s="179" t="n">
        <v>205</v>
      </c>
      <c r="U35" s="180" t="n">
        <v>30</v>
      </c>
      <c r="V35" s="179" t="n">
        <v>515</v>
      </c>
      <c r="W35" s="180" t="n">
        <v>75</v>
      </c>
      <c r="X35" s="179" t="n">
        <v>195000</v>
      </c>
      <c r="Y35" s="181" t="n">
        <v>28282.4</v>
      </c>
      <c r="Z35" s="182" t="n"/>
      <c r="AA35" s="182" t="n"/>
      <c r="AB35" s="182" t="n"/>
      <c r="AC35" s="182" t="n"/>
      <c r="AD35" s="182" t="n"/>
      <c r="AE35" s="182" t="inlineStr">
        <is>
          <t>plane_strain</t>
        </is>
      </c>
    </row>
    <row r="36" ht="15" customHeight="1" s="92">
      <c r="A36" s="169" t="inlineStr">
        <is>
          <t>SA-240-347</t>
        </is>
      </c>
      <c r="B36" s="169" t="inlineStr">
        <is>
          <t>SA-240</t>
        </is>
      </c>
      <c r="C36" s="170" t="n">
        <v>347</v>
      </c>
      <c r="D36" s="169" t="inlineStr">
        <is>
          <t>Plate</t>
        </is>
      </c>
      <c r="E36" s="169" t="inlineStr">
        <is>
          <t>Solution annealed</t>
        </is>
      </c>
      <c r="F36" s="169" t="inlineStr">
        <is>
          <t>AUSTENITIC_SS</t>
        </is>
      </c>
      <c r="G36" s="170">
        <f>IF(UNIT_SYSTEM="SI",IF(T36="","",T36),IF(U36="","",U36))</f>
        <v/>
      </c>
      <c r="H36" s="170">
        <f>IF(UNIT_SYSTEM="SI",IF(V36="","",V36),IF(W36="","",W36))</f>
        <v/>
      </c>
      <c r="I36" s="170">
        <f>IF(UNIT_SYSTEM="SI",IF(X36="","",X36),IF(Y36="","",Y36))</f>
        <v/>
      </c>
      <c r="J36" s="169" t="inlineStr">
        <is>
          <t>N/A</t>
        </is>
      </c>
      <c r="K36" s="169" t="inlineStr">
        <is>
          <t>AUSTENITIC_SS</t>
        </is>
      </c>
      <c r="L36" s="169" t="inlineStr">
        <is>
          <t>9F4M_AUSTENITIC_SS_AIR</t>
        </is>
      </c>
      <c r="M36" s="169" t="inlineStr">
        <is>
          <t>9F412_AUSTENITIC_JC</t>
        </is>
      </c>
      <c r="N36" s="169">
        <f>IF(UNIT_SYSTEM="SI",IF(Z36="","",Z36),IF(AA36="","",AA36))</f>
        <v/>
      </c>
      <c r="O36" s="169">
        <f>IF(UNIT_SYSTEM="SI",IF(AB36="","",AB36),IF(AC36="","",AC36))</f>
        <v/>
      </c>
      <c r="P36" s="169" t="n"/>
      <c r="Q36" s="169">
        <f>IF(UNIT_SYSTEM="SI",IF(AD36="","",AD36),IF(AE36="","",AE36))</f>
        <v/>
      </c>
      <c r="R36" s="169" t="inlineStr">
        <is>
          <t>Austenitic: no exemption curve</t>
        </is>
      </c>
      <c r="S36" s="169" t="n"/>
      <c r="T36" s="173" t="n">
        <v>205</v>
      </c>
      <c r="U36" s="174" t="n">
        <v>30</v>
      </c>
      <c r="V36" s="173" t="n">
        <v>515</v>
      </c>
      <c r="W36" s="174" t="n">
        <v>75</v>
      </c>
      <c r="X36" s="173" t="n">
        <v>195000</v>
      </c>
      <c r="Y36" s="175" t="n">
        <v>28282.4</v>
      </c>
      <c r="Z36" s="183" t="n"/>
      <c r="AA36" s="183" t="n"/>
      <c r="AB36" s="183" t="n"/>
      <c r="AC36" s="183" t="n"/>
      <c r="AD36" s="183" t="n"/>
      <c r="AE36" s="183" t="inlineStr">
        <is>
          <t>plane_strain</t>
        </is>
      </c>
    </row>
    <row r="37" ht="15" customHeight="1" s="92">
      <c r="A37" s="177" t="inlineStr">
        <is>
          <t>SA-312-TP304</t>
        </is>
      </c>
      <c r="B37" s="177" t="inlineStr">
        <is>
          <t>SA-312</t>
        </is>
      </c>
      <c r="C37" s="177" t="inlineStr">
        <is>
          <t>TP304</t>
        </is>
      </c>
      <c r="D37" s="177" t="inlineStr">
        <is>
          <t>Pipe</t>
        </is>
      </c>
      <c r="E37" s="177" t="inlineStr">
        <is>
          <t>Solution annealed</t>
        </is>
      </c>
      <c r="F37" s="177" t="inlineStr">
        <is>
          <t>AUSTENITIC_SS</t>
        </is>
      </c>
      <c r="G37" s="178">
        <f>IF(UNIT_SYSTEM="SI",IF(T37="","",T37),IF(U37="","",U37))</f>
        <v/>
      </c>
      <c r="H37" s="178">
        <f>IF(UNIT_SYSTEM="SI",IF(V37="","",V37),IF(W37="","",W37))</f>
        <v/>
      </c>
      <c r="I37" s="178">
        <f>IF(UNIT_SYSTEM="SI",IF(X37="","",X37),IF(Y37="","",Y37))</f>
        <v/>
      </c>
      <c r="J37" s="177" t="inlineStr">
        <is>
          <t>N/A</t>
        </is>
      </c>
      <c r="K37" s="177" t="inlineStr">
        <is>
          <t>AUSTENITIC_SS</t>
        </is>
      </c>
      <c r="L37" s="177" t="inlineStr">
        <is>
          <t>9F4M_AUSTENITIC_SS_AIR</t>
        </is>
      </c>
      <c r="M37" s="177" t="inlineStr">
        <is>
          <t>9F412_AUSTENITIC_JC</t>
        </is>
      </c>
      <c r="N37" s="177">
        <f>IF(UNIT_SYSTEM="SI",IF(Z37="","",Z37),IF(AA37="","",AA37))</f>
        <v/>
      </c>
      <c r="O37" s="177">
        <f>IF(UNIT_SYSTEM="SI",IF(AB37="","",AB37),IF(AC37="","",AC37))</f>
        <v/>
      </c>
      <c r="P37" s="177" t="n"/>
      <c r="Q37" s="177">
        <f>IF(UNIT_SYSTEM="SI",IF(AD37="","",AD37),IF(AE37="","",AE37))</f>
        <v/>
      </c>
      <c r="R37" s="177" t="inlineStr">
        <is>
          <t>Austenitic: no exemption curve</t>
        </is>
      </c>
      <c r="S37" s="177" t="n"/>
      <c r="T37" s="179" t="n">
        <v>205</v>
      </c>
      <c r="U37" s="180" t="n">
        <v>30</v>
      </c>
      <c r="V37" s="179" t="n">
        <v>515</v>
      </c>
      <c r="W37" s="180" t="n">
        <v>75</v>
      </c>
      <c r="X37" s="179" t="n">
        <v>195000</v>
      </c>
      <c r="Y37" s="181" t="n">
        <v>28282.4</v>
      </c>
      <c r="Z37" s="182" t="n"/>
      <c r="AA37" s="182" t="n"/>
      <c r="AB37" s="182" t="n"/>
      <c r="AC37" s="182" t="n"/>
      <c r="AD37" s="182" t="n"/>
      <c r="AE37" s="182" t="inlineStr">
        <is>
          <t>plane_strain</t>
        </is>
      </c>
    </row>
    <row r="38" ht="15" customHeight="1" s="92">
      <c r="A38" s="169" t="inlineStr">
        <is>
          <t>SA-312-TP316L</t>
        </is>
      </c>
      <c r="B38" s="169" t="inlineStr">
        <is>
          <t>SA-312</t>
        </is>
      </c>
      <c r="C38" s="169" t="inlineStr">
        <is>
          <t>TP316L</t>
        </is>
      </c>
      <c r="D38" s="169" t="inlineStr">
        <is>
          <t>Pipe</t>
        </is>
      </c>
      <c r="E38" s="169" t="inlineStr">
        <is>
          <t>Solution annealed</t>
        </is>
      </c>
      <c r="F38" s="169" t="inlineStr">
        <is>
          <t>AUSTENITIC_SS</t>
        </is>
      </c>
      <c r="G38" s="170">
        <f>IF(UNIT_SYSTEM="SI",IF(T38="","",T38),IF(U38="","",U38))</f>
        <v/>
      </c>
      <c r="H38" s="170">
        <f>IF(UNIT_SYSTEM="SI",IF(V38="","",V38),IF(W38="","",W38))</f>
        <v/>
      </c>
      <c r="I38" s="170">
        <f>IF(UNIT_SYSTEM="SI",IF(X38="","",X38),IF(Y38="","",Y38))</f>
        <v/>
      </c>
      <c r="J38" s="169" t="inlineStr">
        <is>
          <t>N/A</t>
        </is>
      </c>
      <c r="K38" s="169" t="inlineStr">
        <is>
          <t>AUSTENITIC_SS</t>
        </is>
      </c>
      <c r="L38" s="169" t="inlineStr">
        <is>
          <t>9F4M_AUSTENITIC_SS_AIR</t>
        </is>
      </c>
      <c r="M38" s="169" t="inlineStr">
        <is>
          <t>9F412_AUSTENITIC_JC</t>
        </is>
      </c>
      <c r="N38" s="169">
        <f>IF(UNIT_SYSTEM="SI",IF(Z38="","",Z38),IF(AA38="","",AA38))</f>
        <v/>
      </c>
      <c r="O38" s="169">
        <f>IF(UNIT_SYSTEM="SI",IF(AB38="","",AB38),IF(AC38="","",AC38))</f>
        <v/>
      </c>
      <c r="P38" s="169" t="n"/>
      <c r="Q38" s="169">
        <f>IF(UNIT_SYSTEM="SI",IF(AD38="","",AD38),IF(AE38="","",AE38))</f>
        <v/>
      </c>
      <c r="R38" s="169" t="inlineStr">
        <is>
          <t>Austenitic: no exemption curve</t>
        </is>
      </c>
      <c r="S38" s="169" t="n"/>
      <c r="T38" s="173" t="n">
        <v>170</v>
      </c>
      <c r="U38" s="174" t="n">
        <v>25</v>
      </c>
      <c r="V38" s="173" t="n">
        <v>485</v>
      </c>
      <c r="W38" s="174" t="n">
        <v>70</v>
      </c>
      <c r="X38" s="173" t="n">
        <v>195000</v>
      </c>
      <c r="Y38" s="175" t="n">
        <v>28282.4</v>
      </c>
      <c r="Z38" s="183" t="n"/>
      <c r="AA38" s="183" t="n"/>
      <c r="AB38" s="183" t="n"/>
      <c r="AC38" s="183" t="n"/>
      <c r="AD38" s="183" t="n"/>
      <c r="AE38" s="183" t="inlineStr">
        <is>
          <t>plane_strain</t>
        </is>
      </c>
    </row>
    <row r="40" ht="15" customHeight="1" s="92">
      <c r="A40" s="115" t="inlineStr">
        <is>
          <t>Source: data/materials_db.csv. Specified minimum strengths per material specification (confirm against the current edition); exemption curves per API 579 Part 3 Table 3.2; E values typical. Values follow the Unit System drop-down on the Cover sheet.</t>
        </is>
      </c>
    </row>
  </sheetData>
  <autoFilter ref="A1:AE3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1" min="1" max="2"/>
    <col width="13" customWidth="1" style="91" min="3" max="3"/>
    <col width="12" customWidth="1" style="91" min="4" max="4"/>
    <col width="44" customWidth="1" style="91" min="5" max="5"/>
    <col width="48" customWidth="1" style="91" min="6" max="6"/>
    <col width="26" customWidth="1" style="91" min="7" max="7"/>
    <col width="12" customWidth="1" style="91" min="8" max="8"/>
    <col width="26" customWidth="1" style="91" min="9" max="9"/>
    <col width="12" customWidth="1" style="91" min="10" max="10"/>
    <col width="26" customWidth="1" style="91" min="11" max="12"/>
    <col hidden="1" width="27" customWidth="1" style="91" min="13" max="16"/>
    <col hidden="1" width="22" customWidth="1" style="91" min="17" max="18"/>
    <col hidden="1" width="20" customWidth="1" style="91" min="19" max="20"/>
  </cols>
  <sheetData>
    <row r="1" ht="30" customHeight="1" s="92">
      <c r="A1" s="167" t="inlineStr">
        <is>
          <t>model_id</t>
        </is>
      </c>
      <c r="B1" s="167" t="inlineStr">
        <is>
          <t>R_range</t>
        </is>
      </c>
      <c r="C1" s="167" t="inlineStr">
        <is>
          <t>API table</t>
        </is>
      </c>
      <c r="D1" s="167" t="inlineStr">
        <is>
          <t>equation</t>
        </is>
      </c>
      <c r="E1" s="167" t="inlineStr">
        <is>
          <t>description</t>
        </is>
      </c>
      <c r="F1" s="167" t="inlineStr">
        <is>
          <t>applicability</t>
        </is>
      </c>
      <c r="G1" s="167">
        <f>IF(UNIT_SYSTEM="SI","C1 (mm/cycle)","C1 (in/cycle)")</f>
        <v/>
      </c>
      <c r="H1" s="167" t="inlineStr">
        <is>
          <t>n1</t>
        </is>
      </c>
      <c r="I1" s="167">
        <f>IF(UNIT_SYSTEM="SI","C2 (mm/cycle)","C2 (in/cycle)")</f>
        <v/>
      </c>
      <c r="J1" s="167" t="inlineStr">
        <is>
          <t>n2</t>
        </is>
      </c>
      <c r="K1" s="167">
        <f>IF(UNIT_SYSTEM="SI","dK transition (MPa√m)","dK transition (ksi√in)")</f>
        <v/>
      </c>
      <c r="L1" s="167">
        <f>IF(UNIT_SYSTEM="SI","dKth (MPa√m)","dKth (ksi√in)")</f>
        <v/>
      </c>
      <c r="M1" s="168" t="inlineStr">
        <is>
          <t>C1_SI_mm_cycle (source)</t>
        </is>
      </c>
      <c r="N1" s="168" t="inlineStr">
        <is>
          <t>C1_US_in_cycle (source)</t>
        </is>
      </c>
      <c r="O1" s="168" t="inlineStr">
        <is>
          <t>C2_SI_mm_cycle (source)</t>
        </is>
      </c>
      <c r="P1" s="168" t="inlineStr">
        <is>
          <t>C2_US_in_cycle (source)</t>
        </is>
      </c>
      <c r="Q1" s="168" t="inlineStr">
        <is>
          <t>dKtran_SI (source)</t>
        </is>
      </c>
      <c r="R1" s="168" t="inlineStr">
        <is>
          <t>dKtran_US (source)</t>
        </is>
      </c>
      <c r="S1" s="168" t="inlineStr">
        <is>
          <t>dKth_SI (source)</t>
        </is>
      </c>
      <c r="T1" s="168" t="inlineStr">
        <is>
          <t>dKth_US (source)</t>
        </is>
      </c>
    </row>
    <row r="2" ht="15" customHeight="1" s="92">
      <c r="A2" s="169" t="inlineStr">
        <is>
          <t>PROJECT_MATERIAL_DATA</t>
        </is>
      </c>
      <c r="B2" s="169" t="inlineStr">
        <is>
          <t>ALL</t>
        </is>
      </c>
      <c r="C2" s="169" t="inlineStr">
        <is>
          <t>Material DB</t>
        </is>
      </c>
      <c r="D2" s="169" t="inlineStr">
        <is>
          <t>PARIS_9F135</t>
        </is>
      </c>
      <c r="E2" s="169" t="inlineStr">
        <is>
          <t>C, n, dKth from selected material record</t>
        </is>
      </c>
      <c r="F2" s="169" t="inlineStr">
        <is>
          <t>Approved material-specific data</t>
        </is>
      </c>
      <c r="G2" s="169">
        <f>IF(UNIT_SYSTEM="SI",IF(M2="","",M2),IF(N2="","",N2))</f>
        <v/>
      </c>
      <c r="H2" s="169" t="n"/>
      <c r="I2" s="169">
        <f>IF(UNIT_SYSTEM="SI",IF(O2="","",O2),IF(P2="","",P2))</f>
        <v/>
      </c>
      <c r="J2" s="169" t="n"/>
      <c r="K2" s="169">
        <f>IF(UNIT_SYSTEM="SI",IF(Q2="","",Q2),IF(R2="","",R2))</f>
        <v/>
      </c>
      <c r="L2" s="169">
        <f>IF(UNIT_SYSTEM="SI",IF(S2="","",S2),IF(T2="","",T2))</f>
        <v/>
      </c>
      <c r="M2" s="183" t="n"/>
      <c r="N2" s="183" t="n"/>
      <c r="O2" s="183" t="n"/>
      <c r="P2" s="183" t="n"/>
      <c r="Q2" s="183" t="n"/>
      <c r="R2" s="183" t="n"/>
      <c r="S2" s="183" t="n"/>
      <c r="T2" s="183" t="n"/>
    </row>
    <row r="3" ht="15" customHeight="1" s="92">
      <c r="A3" s="177" t="inlineStr">
        <is>
          <t>PROJECT_USER_PARIS</t>
        </is>
      </c>
      <c r="B3" s="177" t="inlineStr">
        <is>
          <t>ALL</t>
        </is>
      </c>
      <c r="C3" s="177" t="inlineStr">
        <is>
          <t>Project</t>
        </is>
      </c>
      <c r="D3" s="177" t="inlineStr">
        <is>
          <t>PARIS_9F135</t>
        </is>
      </c>
      <c r="E3" s="177" t="inlineStr">
        <is>
          <t>User-entered Paris C, n, dKth (4_Crack_Growth sheet)</t>
        </is>
      </c>
      <c r="F3" s="177" t="inlineStr">
        <is>
          <t>Approved project data</t>
        </is>
      </c>
      <c r="G3" s="177">
        <f>IF(UNIT_SYSTEM="SI",IF(M3="","",M3),IF(N3="","",N3))</f>
        <v/>
      </c>
      <c r="H3" s="177" t="n"/>
      <c r="I3" s="177">
        <f>IF(UNIT_SYSTEM="SI",IF(O3="","",O3),IF(P3="","",P3))</f>
        <v/>
      </c>
      <c r="J3" s="177" t="n"/>
      <c r="K3" s="177">
        <f>IF(UNIT_SYSTEM="SI",IF(Q3="","",Q3),IF(R3="","",R3))</f>
        <v/>
      </c>
      <c r="L3" s="177">
        <f>IF(UNIT_SYSTEM="SI",IF(S3="","",S3),IF(T3="","",T3))</f>
        <v/>
      </c>
      <c r="M3" s="182" t="n"/>
      <c r="N3" s="182" t="n"/>
      <c r="O3" s="182" t="n"/>
      <c r="P3" s="182" t="n"/>
      <c r="Q3" s="182" t="n"/>
      <c r="R3" s="182" t="n"/>
      <c r="S3" s="182" t="n"/>
      <c r="T3" s="182" t="n"/>
    </row>
    <row r="4" ht="15" customHeight="1" s="92">
      <c r="A4" s="169" t="inlineStr">
        <is>
          <t>9F4M_MARTENSITIC_AIR</t>
        </is>
      </c>
      <c r="B4" s="169" t="inlineStr">
        <is>
          <t>ALL</t>
        </is>
      </c>
      <c r="C4" s="169">
        <f>IF(UNIT_SYSTEM="SI","9F.4M","9F.4")</f>
        <v/>
      </c>
      <c r="D4" s="169" t="inlineStr">
        <is>
          <t>PARIS_9F135</t>
        </is>
      </c>
      <c r="E4" s="169" t="inlineStr">
        <is>
          <t>Barsom - martensitic steel, air</t>
        </is>
      </c>
      <c r="F4" s="169" t="inlineStr">
        <is>
          <t>Sy 552-2068 MPa (80-300 ksi); room temperature; air/non-aggressive</t>
        </is>
      </c>
      <c r="G4" s="171">
        <f>IF(UNIT_SYSTEM="SI",IF(M4="","",M4),IF(N4="","",N4))</f>
        <v/>
      </c>
      <c r="H4" s="172" t="n">
        <v>2.25</v>
      </c>
      <c r="I4" s="169">
        <f>IF(UNIT_SYSTEM="SI",IF(O4="","",O4),IF(P4="","",P4))</f>
        <v/>
      </c>
      <c r="J4" s="169" t="n"/>
      <c r="K4" s="169">
        <f>IF(UNIT_SYSTEM="SI",IF(Q4="","",Q4),IF(R4="","",R4))</f>
        <v/>
      </c>
      <c r="L4" s="169">
        <f>IF(UNIT_SYSTEM="SI",IF(S4="","",S4),IF(T4="","",T4))</f>
        <v/>
      </c>
      <c r="M4" s="176" t="n">
        <v>1.36e-07</v>
      </c>
      <c r="N4" s="176" t="n">
        <v>6.6e-09</v>
      </c>
      <c r="O4" s="183" t="n"/>
      <c r="P4" s="183" t="n"/>
      <c r="Q4" s="183" t="n"/>
      <c r="R4" s="183" t="n"/>
      <c r="S4" s="183" t="inlineStr">
        <is>
          <t>7.0*(1-0.85*R)</t>
        </is>
      </c>
      <c r="T4" s="183" t="inlineStr">
        <is>
          <t>6.37*(1-0.85*R)</t>
        </is>
      </c>
    </row>
    <row r="5" ht="15" customHeight="1" s="92">
      <c r="A5" s="177" t="inlineStr">
        <is>
          <t>9F4M_FERRITIC_PEARLITE_AIR</t>
        </is>
      </c>
      <c r="B5" s="177" t="inlineStr">
        <is>
          <t>ALL</t>
        </is>
      </c>
      <c r="C5" s="177">
        <f>IF(UNIT_SYSTEM="SI","9F.4M","9F.4")</f>
        <v/>
      </c>
      <c r="D5" s="177" t="inlineStr">
        <is>
          <t>PARIS_9F135</t>
        </is>
      </c>
      <c r="E5" s="177" t="inlineStr">
        <is>
          <t>Barsom - ferritic-pearlite steel, air</t>
        </is>
      </c>
      <c r="F5" s="177" t="inlineStr">
        <is>
          <t>Room temperature; air/non-aggressive</t>
        </is>
      </c>
      <c r="G5" s="184">
        <f>IF(UNIT_SYSTEM="SI",IF(M5="","",M5),IF(N5="","",N5))</f>
        <v/>
      </c>
      <c r="H5" s="185" t="n">
        <v>3</v>
      </c>
      <c r="I5" s="177">
        <f>IF(UNIT_SYSTEM="SI",IF(O5="","",O5),IF(P5="","",P5))</f>
        <v/>
      </c>
      <c r="J5" s="177" t="n"/>
      <c r="K5" s="177">
        <f>IF(UNIT_SYSTEM="SI",IF(Q5="","",Q5),IF(R5="","",R5))</f>
        <v/>
      </c>
      <c r="L5" s="177">
        <f>IF(UNIT_SYSTEM="SI",IF(S5="","",S5),IF(T5="","",T5))</f>
        <v/>
      </c>
      <c r="M5" s="186" t="n">
        <v>6.89e-09</v>
      </c>
      <c r="N5" s="186" t="n">
        <v>3.6e-10</v>
      </c>
      <c r="O5" s="182" t="n"/>
      <c r="P5" s="182" t="n"/>
      <c r="Q5" s="182" t="n"/>
      <c r="R5" s="182" t="n"/>
      <c r="S5" s="182" t="inlineStr">
        <is>
          <t>7.0*(1-0.85*R)</t>
        </is>
      </c>
      <c r="T5" s="182" t="inlineStr">
        <is>
          <t>6.37*(1-0.85*R)</t>
        </is>
      </c>
    </row>
    <row r="6" ht="15" customHeight="1" s="92">
      <c r="A6" s="169" t="inlineStr">
        <is>
          <t>9F4M_AUSTENITIC_SS_AIR</t>
        </is>
      </c>
      <c r="B6" s="169" t="inlineStr">
        <is>
          <t>ALL</t>
        </is>
      </c>
      <c r="C6" s="169">
        <f>IF(UNIT_SYSTEM="SI","9F.4M","9F.4")</f>
        <v/>
      </c>
      <c r="D6" s="169" t="inlineStr">
        <is>
          <t>PARIS_9F135</t>
        </is>
      </c>
      <c r="E6" s="169" t="inlineStr">
        <is>
          <t>Barsom - austenitic stainless steel, air</t>
        </is>
      </c>
      <c r="F6" s="169" t="inlineStr">
        <is>
          <t>Room temperature; air/non-aggressive</t>
        </is>
      </c>
      <c r="G6" s="171">
        <f>IF(UNIT_SYSTEM="SI",IF(M6="","",M6),IF(N6="","",N6))</f>
        <v/>
      </c>
      <c r="H6" s="172" t="n">
        <v>3.25</v>
      </c>
      <c r="I6" s="169">
        <f>IF(UNIT_SYSTEM="SI",IF(O6="","",O6),IF(P6="","",P6))</f>
        <v/>
      </c>
      <c r="J6" s="169" t="n"/>
      <c r="K6" s="169">
        <f>IF(UNIT_SYSTEM="SI",IF(Q6="","",Q6),IF(R6="","",R6))</f>
        <v/>
      </c>
      <c r="L6" s="169">
        <f>IF(UNIT_SYSTEM="SI",IF(S6="","",S6),IF(T6="","",T6))</f>
        <v/>
      </c>
      <c r="M6" s="176" t="n">
        <v>5.61e-09</v>
      </c>
      <c r="N6" s="176" t="n">
        <v>3e-10</v>
      </c>
      <c r="O6" s="183" t="n"/>
      <c r="P6" s="183" t="n"/>
      <c r="Q6" s="183" t="n"/>
      <c r="R6" s="183" t="n"/>
      <c r="S6" s="183" t="inlineStr">
        <is>
          <t>7.0*(1-0.85*R)</t>
        </is>
      </c>
      <c r="T6" s="183" t="inlineStr">
        <is>
          <t>6.37*(1-0.85*R)</t>
        </is>
      </c>
    </row>
    <row r="7" ht="15" customHeight="1" s="92">
      <c r="A7" s="177" t="inlineStr">
        <is>
          <t>9F5M_WELD_UPPER</t>
        </is>
      </c>
      <c r="B7" s="177" t="inlineStr">
        <is>
          <t>ALL</t>
        </is>
      </c>
      <c r="C7" s="177">
        <f>IF(UNIT_SYSTEM="SI","9F.5M","9F.5")</f>
        <v/>
      </c>
      <c r="D7" s="177" t="inlineStr">
        <is>
          <t>WELD_9F140</t>
        </is>
      </c>
      <c r="E7" s="177" t="inlineStr">
        <is>
          <t>Welded joints - upper bound (99.5% survival)</t>
        </is>
      </c>
      <c r="F7" s="177" t="inlineStr">
        <is>
          <t>Steels in air/non-corrosive; constant or random amplitude</t>
        </is>
      </c>
      <c r="G7" s="184">
        <f>IF(UNIT_SYSTEM="SI",IF(M7="","",M7),IF(N7="","",N7))</f>
        <v/>
      </c>
      <c r="H7" s="185" t="n">
        <v>2.75</v>
      </c>
      <c r="I7" s="177">
        <f>IF(UNIT_SYSTEM="SI",IF(O7="","",O7),IF(P7="","",P7))</f>
        <v/>
      </c>
      <c r="J7" s="177" t="n"/>
      <c r="K7" s="177">
        <f>IF(UNIT_SYSTEM="SI",IF(Q7="","",Q7),IF(R7="","",R7))</f>
        <v/>
      </c>
      <c r="L7" s="185">
        <f>IF(UNIT_SYSTEM="SI",IF(S7="","",S7),IF(T7="","",T7))</f>
        <v/>
      </c>
      <c r="M7" s="186" t="n">
        <v>2.6e-08</v>
      </c>
      <c r="N7" s="186" t="n">
        <v>1.33e-09</v>
      </c>
      <c r="O7" s="182" t="n"/>
      <c r="P7" s="182" t="n"/>
      <c r="Q7" s="182" t="n"/>
      <c r="R7" s="182" t="n"/>
      <c r="S7" s="180" t="n">
        <v>2</v>
      </c>
      <c r="T7" s="180" t="n">
        <v>1.82</v>
      </c>
    </row>
    <row r="8" ht="15" customHeight="1" s="92">
      <c r="A8" s="169" t="inlineStr">
        <is>
          <t>9F5M_WELD_MEAN</t>
        </is>
      </c>
      <c r="B8" s="169" t="inlineStr">
        <is>
          <t>ALL</t>
        </is>
      </c>
      <c r="C8" s="169">
        <f>IF(UNIT_SYSTEM="SI","9F.5M","9F.5")</f>
        <v/>
      </c>
      <c r="D8" s="169" t="inlineStr">
        <is>
          <t>WELD_9F140</t>
        </is>
      </c>
      <c r="E8" s="169" t="inlineStr">
        <is>
          <t>Welded joints - mean (50% survival)</t>
        </is>
      </c>
      <c r="F8" s="169" t="inlineStr">
        <is>
          <t>Steels in air/non-corrosive; constant or random amplitude</t>
        </is>
      </c>
      <c r="G8" s="171">
        <f>IF(UNIT_SYSTEM="SI",IF(M8="","",M8),IF(N8="","",N8))</f>
        <v/>
      </c>
      <c r="H8" s="172" t="n">
        <v>2.75</v>
      </c>
      <c r="I8" s="169">
        <f>IF(UNIT_SYSTEM="SI",IF(O8="","",O8),IF(P8="","",P8))</f>
        <v/>
      </c>
      <c r="J8" s="169" t="n"/>
      <c r="K8" s="169">
        <f>IF(UNIT_SYSTEM="SI",IF(Q8="","",Q8),IF(R8="","",R8))</f>
        <v/>
      </c>
      <c r="L8" s="172">
        <f>IF(UNIT_SYSTEM="SI",IF(S8="","",S8),IF(T8="","",T8))</f>
        <v/>
      </c>
      <c r="M8" s="176" t="n">
        <v>1.45e-08</v>
      </c>
      <c r="N8" s="176" t="n">
        <v>7.4e-10</v>
      </c>
      <c r="O8" s="183" t="n"/>
      <c r="P8" s="183" t="n"/>
      <c r="Q8" s="183" t="n"/>
      <c r="R8" s="183" t="n"/>
      <c r="S8" s="174" t="n">
        <v>2.45</v>
      </c>
      <c r="T8" s="174" t="n">
        <v>2.18</v>
      </c>
    </row>
    <row r="9" ht="15" customHeight="1" s="92">
      <c r="A9" s="177" t="inlineStr">
        <is>
          <t>9F6M_AIR_LE100C</t>
        </is>
      </c>
      <c r="B9" s="177" t="inlineStr">
        <is>
          <t>ALL</t>
        </is>
      </c>
      <c r="C9" s="177">
        <f>IF(UNIT_SYSTEM="SI","9F.6M","9F.6")</f>
        <v/>
      </c>
      <c r="D9" s="177" t="inlineStr">
        <is>
          <t>PARIS_9F135</t>
        </is>
      </c>
      <c r="E9" s="177" t="inlineStr">
        <is>
          <t>BS 7910 screening - air &lt;= 100 C (212 F)</t>
        </is>
      </c>
      <c r="F9" s="177" t="inlineStr">
        <is>
          <t>Ferritic/austenitic; Sy &lt;= 600 MPa (87 ksi)</t>
        </is>
      </c>
      <c r="G9" s="184">
        <f>IF(UNIT_SYSTEM="SI",IF(M9="","",M9),IF(N9="","",N9))</f>
        <v/>
      </c>
      <c r="H9" s="185" t="n">
        <v>3</v>
      </c>
      <c r="I9" s="177">
        <f>IF(UNIT_SYSTEM="SI",IF(O9="","",O9),IF(P9="","",P9))</f>
        <v/>
      </c>
      <c r="J9" s="177" t="n"/>
      <c r="K9" s="177">
        <f>IF(UNIT_SYSTEM="SI",IF(Q9="","",Q9),IF(R9="","",R9))</f>
        <v/>
      </c>
      <c r="L9" s="185">
        <f>IF(UNIT_SYSTEM="SI",IF(S9="","",S9),IF(T9="","",T9))</f>
        <v/>
      </c>
      <c r="M9" s="186" t="n">
        <v>1.65e-08</v>
      </c>
      <c r="N9" s="186" t="n">
        <v>8.61e-10</v>
      </c>
      <c r="O9" s="182" t="n"/>
      <c r="P9" s="182" t="n"/>
      <c r="Q9" s="182" t="n"/>
      <c r="R9" s="182" t="n"/>
      <c r="S9" s="180" t="n">
        <v>2</v>
      </c>
      <c r="T9" s="180" t="n">
        <v>1.8</v>
      </c>
    </row>
    <row r="10" ht="15" customHeight="1" s="92">
      <c r="A10" s="169" t="inlineStr">
        <is>
          <t>9F6M_AIR_100_600C</t>
        </is>
      </c>
      <c r="B10" s="169" t="inlineStr">
        <is>
          <t>ALL</t>
        </is>
      </c>
      <c r="C10" s="169">
        <f>IF(UNIT_SYSTEM="SI","9F.6M","9F.6")</f>
        <v/>
      </c>
      <c r="D10" s="169" t="inlineStr">
        <is>
          <t>PARIS_TEMP_9F137</t>
        </is>
      </c>
      <c r="E10" s="169" t="inlineStr">
        <is>
          <t>BS 7910 screening - air 100-600 C (212-1112 F), f &gt;= 1 Hz</t>
        </is>
      </c>
      <c r="F10" s="169" t="inlineStr">
        <is>
          <t>Ferritic/austenitic; requires E ratio (Eq. 9F.139)</t>
        </is>
      </c>
      <c r="G10" s="171">
        <f>IF(UNIT_SYSTEM="SI",IF(M10="","",M10),IF(N10="","",N10))</f>
        <v/>
      </c>
      <c r="H10" s="172" t="n">
        <v>3</v>
      </c>
      <c r="I10" s="169">
        <f>IF(UNIT_SYSTEM="SI",IF(O10="","",O10),IF(P10="","",P10))</f>
        <v/>
      </c>
      <c r="J10" s="169" t="n"/>
      <c r="K10" s="169">
        <f>IF(UNIT_SYSTEM="SI",IF(Q10="","",Q10),IF(R10="","",R10))</f>
        <v/>
      </c>
      <c r="L10" s="172">
        <f>IF(UNIT_SYSTEM="SI",IF(S10="","",S10),IF(T10="","",T10))</f>
        <v/>
      </c>
      <c r="M10" s="176" t="n">
        <v>1.65e-08</v>
      </c>
      <c r="N10" s="176" t="n">
        <v>8.61e-10</v>
      </c>
      <c r="O10" s="183" t="n"/>
      <c r="P10" s="183" t="n"/>
      <c r="Q10" s="183" t="n"/>
      <c r="R10" s="183" t="n"/>
      <c r="S10" s="174" t="n">
        <v>2</v>
      </c>
      <c r="T10" s="174" t="n">
        <v>1.8</v>
      </c>
    </row>
    <row r="11" ht="15" customHeight="1" s="92">
      <c r="A11" s="177" t="inlineStr">
        <is>
          <t>9F6M_MARINE_CP</t>
        </is>
      </c>
      <c r="B11" s="177" t="inlineStr">
        <is>
          <t>ALL</t>
        </is>
      </c>
      <c r="C11" s="177">
        <f>IF(UNIT_SYSTEM="SI","9F.6M","9F.6")</f>
        <v/>
      </c>
      <c r="D11" s="177" t="inlineStr">
        <is>
          <t>PARIS_9F135</t>
        </is>
      </c>
      <c r="E11" s="177" t="inlineStr">
        <is>
          <t>BS 7910 screening - marine with CP &lt;= 20 C (68 F)</t>
        </is>
      </c>
      <c r="F11" s="177" t="inlineStr">
        <is>
          <t>Ferritic steels</t>
        </is>
      </c>
      <c r="G11" s="184">
        <f>IF(UNIT_SYSTEM="SI",IF(M11="","",M11),IF(N11="","",N11))</f>
        <v/>
      </c>
      <c r="H11" s="185" t="n">
        <v>3</v>
      </c>
      <c r="I11" s="177">
        <f>IF(UNIT_SYSTEM="SI",IF(O11="","",O11),IF(P11="","",P11))</f>
        <v/>
      </c>
      <c r="J11" s="177" t="n"/>
      <c r="K11" s="177">
        <f>IF(UNIT_SYSTEM="SI",IF(Q11="","",Q11),IF(R11="","",R11))</f>
        <v/>
      </c>
      <c r="L11" s="185">
        <f>IF(UNIT_SYSTEM="SI",IF(S11="","",S11),IF(T11="","",T11))</f>
        <v/>
      </c>
      <c r="M11" s="186" t="n">
        <v>7.27e-08</v>
      </c>
      <c r="N11" s="186" t="n">
        <v>3.8e-09</v>
      </c>
      <c r="O11" s="182" t="n"/>
      <c r="P11" s="182" t="n"/>
      <c r="Q11" s="182" t="n"/>
      <c r="R11" s="182" t="n"/>
      <c r="S11" s="180" t="n">
        <v>2</v>
      </c>
      <c r="T11" s="180" t="n">
        <v>1.8</v>
      </c>
    </row>
    <row r="12" ht="15" customHeight="1" s="92">
      <c r="A12" s="169" t="inlineStr">
        <is>
          <t>9F6M_MARINE_FREE</t>
        </is>
      </c>
      <c r="B12" s="169" t="inlineStr">
        <is>
          <t>ALL</t>
        </is>
      </c>
      <c r="C12" s="169">
        <f>IF(UNIT_SYSTEM="SI","9F.6M","9F.6")</f>
        <v/>
      </c>
      <c r="D12" s="169" t="inlineStr">
        <is>
          <t>PARIS_9F135</t>
        </is>
      </c>
      <c r="E12" s="169" t="inlineStr">
        <is>
          <t>BS 7910 screening - marine without CP &lt;= 20 C (68 F)</t>
        </is>
      </c>
      <c r="F12" s="169" t="inlineStr">
        <is>
          <t>Ferritic steels</t>
        </is>
      </c>
      <c r="G12" s="171">
        <f>IF(UNIT_SYSTEM="SI",IF(M12="","",M12),IF(N12="","",N12))</f>
        <v/>
      </c>
      <c r="H12" s="172" t="n">
        <v>3</v>
      </c>
      <c r="I12" s="169">
        <f>IF(UNIT_SYSTEM="SI",IF(O12="","",O12),IF(P12="","",P12))</f>
        <v/>
      </c>
      <c r="J12" s="169" t="n"/>
      <c r="K12" s="169">
        <f>IF(UNIT_SYSTEM="SI",IF(Q12="","",Q12),IF(R12="","",R12))</f>
        <v/>
      </c>
      <c r="L12" s="172">
        <f>IF(UNIT_SYSTEM="SI",IF(S12="","",S12),IF(T12="","",T12))</f>
        <v/>
      </c>
      <c r="M12" s="176" t="n">
        <v>7.27e-08</v>
      </c>
      <c r="N12" s="176" t="n">
        <v>3.8e-09</v>
      </c>
      <c r="O12" s="183" t="n"/>
      <c r="P12" s="183" t="n"/>
      <c r="Q12" s="183" t="n"/>
      <c r="R12" s="183" t="n"/>
      <c r="S12" s="174" t="n">
        <v>0</v>
      </c>
      <c r="T12" s="174" t="n">
        <v>0</v>
      </c>
    </row>
    <row r="13" ht="15" customHeight="1" s="92">
      <c r="A13" s="177" t="inlineStr">
        <is>
          <t>9F7M_AIR_UPPER</t>
        </is>
      </c>
      <c r="B13" s="177" t="inlineStr">
        <is>
          <t>R&lt;0.5</t>
        </is>
      </c>
      <c r="C13" s="177">
        <f>IF(UNIT_SYSTEM="SI","9F.7/9F.8M","9F.7/9F.8")</f>
        <v/>
      </c>
      <c r="D13" s="177" t="inlineStr">
        <is>
          <t>BILINEAR_9F149</t>
        </is>
      </c>
      <c r="E13" s="177" t="inlineStr">
        <is>
          <t>Steel in air - two-stage, mean+2SD</t>
        </is>
      </c>
      <c r="F13" s="177" t="inlineStr">
        <is>
          <t>Thresholds Table 9F.8; Sy &lt;= 700 MPa (101 ksi), air &lt;= 100 C</t>
        </is>
      </c>
      <c r="G13" s="184">
        <f>IF(UNIT_SYSTEM="SI",IF(M13="","",M13),IF(N13="","",N13))</f>
        <v/>
      </c>
      <c r="H13" s="185" t="n">
        <v>8.16</v>
      </c>
      <c r="I13" s="184">
        <f>IF(UNIT_SYSTEM="SI",IF(O13="","",O13),IF(P13="","",P13))</f>
        <v/>
      </c>
      <c r="J13" s="185" t="n">
        <v>2.88</v>
      </c>
      <c r="K13" s="185">
        <f>IF(UNIT_SYSTEM="SI",IF(Q13="","",Q13),IF(R13="","",R13))</f>
        <v/>
      </c>
      <c r="L13" s="185">
        <f>IF(UNIT_SYSTEM="SI",IF(S13="","",S13),IF(T13="","",T13))</f>
        <v/>
      </c>
      <c r="M13" s="186" t="n">
        <v>7.59e-14</v>
      </c>
      <c r="N13" s="186" t="n">
        <v>6.45e-15</v>
      </c>
      <c r="O13" s="186" t="n">
        <v>1.41e-08</v>
      </c>
      <c r="P13" s="186" t="n">
        <v>7.31e-10</v>
      </c>
      <c r="Q13" s="180" t="n">
        <v>9.960000000000001</v>
      </c>
      <c r="R13" s="180" t="n">
        <v>9.07</v>
      </c>
      <c r="S13" s="180" t="n">
        <v>2</v>
      </c>
      <c r="T13" s="180" t="n">
        <v>1.8</v>
      </c>
    </row>
    <row r="14" ht="15" customHeight="1" s="92">
      <c r="A14" s="169" t="inlineStr">
        <is>
          <t>9F7M_AIR_MEAN</t>
        </is>
      </c>
      <c r="B14" s="169" t="inlineStr">
        <is>
          <t>R&lt;0.5</t>
        </is>
      </c>
      <c r="C14" s="169">
        <f>IF(UNIT_SYSTEM="SI","9F.7/9F.8M","9F.7/9F.8")</f>
        <v/>
      </c>
      <c r="D14" s="169" t="inlineStr">
        <is>
          <t>BILINEAR_9F149</t>
        </is>
      </c>
      <c r="E14" s="169" t="inlineStr">
        <is>
          <t>Steel in air - two-stage, mean</t>
        </is>
      </c>
      <c r="F14" s="169" t="inlineStr">
        <is>
          <t>Thresholds Table 9F.8; Sy &lt;= 700 MPa (101 ksi), air &lt;= 100 C</t>
        </is>
      </c>
      <c r="G14" s="171">
        <f>IF(UNIT_SYSTEM="SI",IF(M14="","",M14),IF(N14="","",N14))</f>
        <v/>
      </c>
      <c r="H14" s="172" t="n">
        <v>8.16</v>
      </c>
      <c r="I14" s="171">
        <f>IF(UNIT_SYSTEM="SI",IF(O14="","",O14),IF(P14="","",P14))</f>
        <v/>
      </c>
      <c r="J14" s="172" t="n">
        <v>2.88</v>
      </c>
      <c r="K14" s="172">
        <f>IF(UNIT_SYSTEM="SI",IF(Q14="","",Q14),IF(R14="","",R14))</f>
        <v/>
      </c>
      <c r="L14" s="172">
        <f>IF(UNIT_SYSTEM="SI",IF(S14="","",S14),IF(T14="","",T14))</f>
        <v/>
      </c>
      <c r="M14" s="176" t="n">
        <v>2.1e-14</v>
      </c>
      <c r="N14" s="176" t="n">
        <v>1.79e-15</v>
      </c>
      <c r="O14" s="176" t="n">
        <v>8.319999999999999e-09</v>
      </c>
      <c r="P14" s="176" t="n">
        <v>4.29e-10</v>
      </c>
      <c r="Q14" s="174" t="n">
        <v>11.48</v>
      </c>
      <c r="R14" s="174" t="n">
        <v>10.45</v>
      </c>
      <c r="S14" s="174" t="n">
        <v>2</v>
      </c>
      <c r="T14" s="174" t="n">
        <v>1.8</v>
      </c>
    </row>
    <row r="15" ht="15" customHeight="1" s="92">
      <c r="A15" s="177" t="inlineStr">
        <is>
          <t>9F7M_AIR_UPPER</t>
        </is>
      </c>
      <c r="B15" s="177" t="inlineStr">
        <is>
          <t>R&gt;=0.5</t>
        </is>
      </c>
      <c r="C15" s="177">
        <f>IF(UNIT_SYSTEM="SI","9F.7/9F.8M","9F.7/9F.8")</f>
        <v/>
      </c>
      <c r="D15" s="177" t="inlineStr">
        <is>
          <t>BILINEAR_9F149</t>
        </is>
      </c>
      <c r="E15" s="177" t="inlineStr">
        <is>
          <t>Steel in air - two-stage, mean+2SD</t>
        </is>
      </c>
      <c r="F15" s="177" t="inlineStr">
        <is>
          <t>Thresholds Table 9F.8; Sy &lt;= 700 MPa (101 ksi), air &lt;= 100 C</t>
        </is>
      </c>
      <c r="G15" s="184">
        <f>IF(UNIT_SYSTEM="SI",IF(M15="","",M15),IF(N15="","",N15))</f>
        <v/>
      </c>
      <c r="H15" s="185" t="n">
        <v>5.1</v>
      </c>
      <c r="I15" s="184">
        <f>IF(UNIT_SYSTEM="SI",IF(O15="","",O15),IF(P15="","",P15))</f>
        <v/>
      </c>
      <c r="J15" s="185" t="n">
        <v>2.88</v>
      </c>
      <c r="K15" s="185">
        <f>IF(UNIT_SYSTEM="SI",IF(Q15="","",Q15),IF(R15="","",R15))</f>
        <v/>
      </c>
      <c r="L15" s="185">
        <f>IF(UNIT_SYSTEM="SI",IF(S15="","",S15),IF(T15="","",T15))</f>
        <v/>
      </c>
      <c r="M15" s="186" t="n">
        <v>9.380000000000001e-10</v>
      </c>
      <c r="N15" s="186" t="n">
        <v>5.97e-11</v>
      </c>
      <c r="O15" s="186" t="n">
        <v>2.7e-08</v>
      </c>
      <c r="P15" s="186" t="n">
        <v>1.39e-09</v>
      </c>
      <c r="Q15" s="180" t="n">
        <v>4.55</v>
      </c>
      <c r="R15" s="180" t="n">
        <v>4.14</v>
      </c>
      <c r="S15" s="180" t="n">
        <v>2</v>
      </c>
      <c r="T15" s="180" t="n">
        <v>1.8</v>
      </c>
    </row>
    <row r="16" ht="15" customHeight="1" s="92">
      <c r="A16" s="169" t="inlineStr">
        <is>
          <t>9F7M_AIR_MEAN</t>
        </is>
      </c>
      <c r="B16" s="169" t="inlineStr">
        <is>
          <t>R&gt;=0.5</t>
        </is>
      </c>
      <c r="C16" s="169">
        <f>IF(UNIT_SYSTEM="SI","9F.7/9F.8M","9F.7/9F.8")</f>
        <v/>
      </c>
      <c r="D16" s="169" t="inlineStr">
        <is>
          <t>BILINEAR_9F149</t>
        </is>
      </c>
      <c r="E16" s="169" t="inlineStr">
        <is>
          <t>Steel in air - two-stage, mean</t>
        </is>
      </c>
      <c r="F16" s="169" t="inlineStr">
        <is>
          <t>Thresholds Table 9F.8; Sy &lt;= 700 MPa (101 ksi), air &lt;= 100 C</t>
        </is>
      </c>
      <c r="G16" s="171">
        <f>IF(UNIT_SYSTEM="SI",IF(M16="","",M16),IF(N16="","",N16))</f>
        <v/>
      </c>
      <c r="H16" s="172" t="n">
        <v>5.1</v>
      </c>
      <c r="I16" s="171">
        <f>IF(UNIT_SYSTEM="SI",IF(O16="","",O16),IF(P16="","",P16))</f>
        <v/>
      </c>
      <c r="J16" s="172" t="n">
        <v>2.88</v>
      </c>
      <c r="K16" s="172">
        <f>IF(UNIT_SYSTEM="SI",IF(Q16="","",Q16),IF(R16="","",R16))</f>
        <v/>
      </c>
      <c r="L16" s="172">
        <f>IF(UNIT_SYSTEM="SI",IF(S16="","",S16),IF(T16="","",T16))</f>
        <v/>
      </c>
      <c r="M16" s="176" t="n">
        <v>2.14e-10</v>
      </c>
      <c r="N16" s="176" t="n">
        <v>1.37e-11</v>
      </c>
      <c r="O16" s="176" t="n">
        <v>1.22e-08</v>
      </c>
      <c r="P16" s="176" t="n">
        <v>6.32e-10</v>
      </c>
      <c r="Q16" s="174" t="n">
        <v>6.2</v>
      </c>
      <c r="R16" s="174" t="n">
        <v>5.64</v>
      </c>
      <c r="S16" s="174" t="n">
        <v>2</v>
      </c>
      <c r="T16" s="174" t="n">
        <v>1.8</v>
      </c>
    </row>
    <row r="17" ht="15" customHeight="1" s="92">
      <c r="A17" s="177" t="inlineStr">
        <is>
          <t>9F7M_MARINE_FREE_UPPER</t>
        </is>
      </c>
      <c r="B17" s="177" t="inlineStr">
        <is>
          <t>R&lt;0.5</t>
        </is>
      </c>
      <c r="C17" s="177">
        <f>IF(UNIT_SYSTEM="SI","9F.7/9F.8M","9F.7/9F.8")</f>
        <v/>
      </c>
      <c r="D17" s="177" t="inlineStr">
        <is>
          <t>BILINEAR_9F149</t>
        </is>
      </c>
      <c r="E17" s="177" t="inlineStr">
        <is>
          <t>Steel freely corroding, marine - two-stage, mean+2SD</t>
        </is>
      </c>
      <c r="F17" s="177" t="inlineStr">
        <is>
          <t>Thresholds Table 9F.8; Sy &lt;= 600 MPa (87 ksi), excl. austenitic/duplex, &lt;= 20 C</t>
        </is>
      </c>
      <c r="G17" s="184">
        <f>IF(UNIT_SYSTEM="SI",IF(M17="","",M17),IF(N17="","",N17))</f>
        <v/>
      </c>
      <c r="H17" s="185" t="n">
        <v>3.42</v>
      </c>
      <c r="I17" s="184">
        <f>IF(UNIT_SYSTEM="SI",IF(O17="","",O17),IF(P17="","",P17))</f>
        <v/>
      </c>
      <c r="J17" s="185" t="n">
        <v>1.3</v>
      </c>
      <c r="K17" s="185">
        <f>IF(UNIT_SYSTEM="SI",IF(Q17="","",Q17),IF(R17="","",R17))</f>
        <v/>
      </c>
      <c r="L17" s="185">
        <f>IF(UNIT_SYSTEM="SI",IF(S17="","",S17),IF(T17="","",T17))</f>
        <v/>
      </c>
      <c r="M17" s="186" t="n">
        <v>1.15e-08</v>
      </c>
      <c r="N17" s="186" t="n">
        <v>6.27e-10</v>
      </c>
      <c r="O17" s="186" t="n">
        <v>1.72e-05</v>
      </c>
      <c r="P17" s="186" t="n">
        <v>7.65e-07</v>
      </c>
      <c r="Q17" s="180" t="n">
        <v>31.4</v>
      </c>
      <c r="R17" s="180" t="n">
        <v>28.58</v>
      </c>
      <c r="S17" s="180" t="n">
        <v>0</v>
      </c>
      <c r="T17" s="180" t="n">
        <v>0</v>
      </c>
    </row>
    <row r="18" ht="15" customHeight="1" s="92">
      <c r="A18" s="169" t="inlineStr">
        <is>
          <t>9F7M_MARINE_FREE_MEAN</t>
        </is>
      </c>
      <c r="B18" s="169" t="inlineStr">
        <is>
          <t>R&lt;0.5</t>
        </is>
      </c>
      <c r="C18" s="169">
        <f>IF(UNIT_SYSTEM="SI","9F.7/9F.8M","9F.7/9F.8")</f>
        <v/>
      </c>
      <c r="D18" s="169" t="inlineStr">
        <is>
          <t>BILINEAR_9F149</t>
        </is>
      </c>
      <c r="E18" s="169" t="inlineStr">
        <is>
          <t>Steel freely corroding, marine - two-stage, mean</t>
        </is>
      </c>
      <c r="F18" s="169" t="inlineStr">
        <is>
          <t>Thresholds Table 9F.8; Sy &lt;= 600 MPa (87 ksi), excl. austenitic/duplex, &lt;= 20 C</t>
        </is>
      </c>
      <c r="G18" s="171">
        <f>IF(UNIT_SYSTEM="SI",IF(M18="","",M18),IF(N18="","",N18))</f>
        <v/>
      </c>
      <c r="H18" s="172" t="n">
        <v>3.42</v>
      </c>
      <c r="I18" s="171">
        <f>IF(UNIT_SYSTEM="SI",IF(O18="","",O18),IF(P18="","",P18))</f>
        <v/>
      </c>
      <c r="J18" s="172" t="n">
        <v>1.3</v>
      </c>
      <c r="K18" s="172">
        <f>IF(UNIT_SYSTEM="SI",IF(Q18="","",Q18),IF(R18="","",R18))</f>
        <v/>
      </c>
      <c r="L18" s="172">
        <f>IF(UNIT_SYSTEM="SI",IF(S18="","",S18),IF(T18="","",T18))</f>
        <v/>
      </c>
      <c r="M18" s="176" t="n">
        <v>4.05e-09</v>
      </c>
      <c r="N18" s="176" t="n">
        <v>2.2e-10</v>
      </c>
      <c r="O18" s="176" t="n">
        <v>1.13e-05</v>
      </c>
      <c r="P18" s="176" t="n">
        <v>5.04e-07</v>
      </c>
      <c r="Q18" s="174" t="n">
        <v>42.25</v>
      </c>
      <c r="R18" s="174" t="n">
        <v>38.45</v>
      </c>
      <c r="S18" s="174" t="n">
        <v>0</v>
      </c>
      <c r="T18" s="174" t="n">
        <v>0</v>
      </c>
    </row>
    <row r="19" ht="15" customHeight="1" s="92">
      <c r="A19" s="177" t="inlineStr">
        <is>
          <t>9F7M_MARINE_FREE_UPPER</t>
        </is>
      </c>
      <c r="B19" s="177" t="inlineStr">
        <is>
          <t>R&gt;=0.5</t>
        </is>
      </c>
      <c r="C19" s="177">
        <f>IF(UNIT_SYSTEM="SI","9F.7/9F.8M","9F.7/9F.8")</f>
        <v/>
      </c>
      <c r="D19" s="177" t="inlineStr">
        <is>
          <t>BILINEAR_9F149</t>
        </is>
      </c>
      <c r="E19" s="177" t="inlineStr">
        <is>
          <t>Steel freely corroding, marine - two-stage, mean+2SD</t>
        </is>
      </c>
      <c r="F19" s="177" t="inlineStr">
        <is>
          <t>Thresholds Table 9F.8; Sy &lt;= 600 MPa (87 ksi), excl. austenitic/duplex, &lt;= 20 C</t>
        </is>
      </c>
      <c r="G19" s="184">
        <f>IF(UNIT_SYSTEM="SI",IF(M19="","",M19),IF(N19="","",N19))</f>
        <v/>
      </c>
      <c r="H19" s="185" t="n">
        <v>3.42</v>
      </c>
      <c r="I19" s="184">
        <f>IF(UNIT_SYSTEM="SI",IF(O19="","",O19),IF(P19="","",P19))</f>
        <v/>
      </c>
      <c r="J19" s="185" t="n">
        <v>1.11</v>
      </c>
      <c r="K19" s="185">
        <f>IF(UNIT_SYSTEM="SI",IF(Q19="","",Q19),IF(R19="","",R19))</f>
        <v/>
      </c>
      <c r="L19" s="185">
        <f>IF(UNIT_SYSTEM="SI",IF(S19="","",S19),IF(T19="","",T19))</f>
        <v/>
      </c>
      <c r="M19" s="186" t="n">
        <v>2.32e-08</v>
      </c>
      <c r="N19" s="186" t="n">
        <v>1.26e-09</v>
      </c>
      <c r="O19" s="186" t="n">
        <v>3.46e-05</v>
      </c>
      <c r="P19" s="186" t="n">
        <v>1.51e-06</v>
      </c>
      <c r="Q19" s="180" t="n">
        <v>23.65</v>
      </c>
      <c r="R19" s="180" t="n">
        <v>21.53</v>
      </c>
      <c r="S19" s="180" t="n">
        <v>0</v>
      </c>
      <c r="T19" s="180" t="n">
        <v>0</v>
      </c>
    </row>
    <row r="20" ht="15" customHeight="1" s="92">
      <c r="A20" s="169" t="inlineStr">
        <is>
          <t>9F7M_MARINE_FREE_MEAN</t>
        </is>
      </c>
      <c r="B20" s="169" t="inlineStr">
        <is>
          <t>R&gt;=0.5</t>
        </is>
      </c>
      <c r="C20" s="169">
        <f>IF(UNIT_SYSTEM="SI","9F.7/9F.8M","9F.7/9F.8")</f>
        <v/>
      </c>
      <c r="D20" s="169" t="inlineStr">
        <is>
          <t>BILINEAR_9F149</t>
        </is>
      </c>
      <c r="E20" s="169" t="inlineStr">
        <is>
          <t>Steel freely corroding, marine - two-stage, mean</t>
        </is>
      </c>
      <c r="F20" s="169" t="inlineStr">
        <is>
          <t>Thresholds Table 9F.8; Sy &lt;= 600 MPa (87 ksi), excl. austenitic/duplex, &lt;= 20 C</t>
        </is>
      </c>
      <c r="G20" s="171">
        <f>IF(UNIT_SYSTEM="SI",IF(M20="","",M20),IF(N20="","",N20))</f>
        <v/>
      </c>
      <c r="H20" s="172" t="n">
        <v>3.42</v>
      </c>
      <c r="I20" s="171">
        <f>IF(UNIT_SYSTEM="SI",IF(O20="","",O20),IF(P20="","",P20))</f>
        <v/>
      </c>
      <c r="J20" s="172" t="n">
        <v>1.11</v>
      </c>
      <c r="K20" s="172">
        <f>IF(UNIT_SYSTEM="SI",IF(Q20="","",Q20),IF(R20="","",R20))</f>
        <v/>
      </c>
      <c r="L20" s="172">
        <f>IF(UNIT_SYSTEM="SI",IF(S20="","",S20),IF(T20="","",T20))</f>
        <v/>
      </c>
      <c r="M20" s="176" t="n">
        <v>7.24e-09</v>
      </c>
      <c r="N20" s="176" t="n">
        <v>3.94e-10</v>
      </c>
      <c r="O20" s="176" t="n">
        <v>2.62e-05</v>
      </c>
      <c r="P20" s="176" t="n">
        <v>1.15e-06</v>
      </c>
      <c r="Q20" s="174" t="n">
        <v>34.72</v>
      </c>
      <c r="R20" s="174" t="n">
        <v>31.6</v>
      </c>
      <c r="S20" s="174" t="n">
        <v>0</v>
      </c>
      <c r="T20" s="174" t="n">
        <v>0</v>
      </c>
    </row>
    <row r="21" ht="15" customHeight="1" s="92">
      <c r="A21" s="177" t="inlineStr">
        <is>
          <t>9F7M_MARINE_CP850_UPPER</t>
        </is>
      </c>
      <c r="B21" s="177" t="inlineStr">
        <is>
          <t>R&lt;0.5</t>
        </is>
      </c>
      <c r="C21" s="177">
        <f>IF(UNIT_SYSTEM="SI","9F.7/9F.8M","9F.7/9F.8")</f>
        <v/>
      </c>
      <c r="D21" s="177" t="inlineStr">
        <is>
          <t>BILINEAR_9F149</t>
        </is>
      </c>
      <c r="E21" s="177" t="inlineStr">
        <is>
          <t>Steel, marine, CP -850 mV (Ag/AgCl) - two-stage, mean+2SD</t>
        </is>
      </c>
      <c r="F21" s="177" t="inlineStr">
        <is>
          <t>Thresholds Table 9F.8; Sy &lt;= 600 MPa (87 ksi), excl. austenitic/duplex, &lt;= 20 C</t>
        </is>
      </c>
      <c r="G21" s="184">
        <f>IF(UNIT_SYSTEM="SI",IF(M21="","",M21),IF(N21="","",N21))</f>
        <v/>
      </c>
      <c r="H21" s="185" t="n">
        <v>8.16</v>
      </c>
      <c r="I21" s="184">
        <f>IF(UNIT_SYSTEM="SI",IF(O21="","",O21),IF(P21="","",P21))</f>
        <v/>
      </c>
      <c r="J21" s="185" t="n">
        <v>2.67</v>
      </c>
      <c r="K21" s="185">
        <f>IF(UNIT_SYSTEM="SI",IF(Q21="","",Q21),IF(R21="","",R21))</f>
        <v/>
      </c>
      <c r="L21" s="185">
        <f>IF(UNIT_SYSTEM="SI",IF(S21="","",S21),IF(T21="","",T21))</f>
        <v/>
      </c>
      <c r="M21" s="186" t="n">
        <v>7.59e-14</v>
      </c>
      <c r="N21" s="186" t="n">
        <v>6.45e-15</v>
      </c>
      <c r="O21" s="186" t="n">
        <v>1.34e-07</v>
      </c>
      <c r="P21" s="186" t="n">
        <v>6.76e-09</v>
      </c>
      <c r="Q21" s="180" t="n">
        <v>13.72</v>
      </c>
      <c r="R21" s="180" t="n">
        <v>12.49</v>
      </c>
      <c r="S21" s="180" t="n">
        <v>2</v>
      </c>
      <c r="T21" s="180" t="n">
        <v>1.8</v>
      </c>
    </row>
    <row r="22" ht="15" customHeight="1" s="92">
      <c r="A22" s="169" t="inlineStr">
        <is>
          <t>9F7M_MARINE_CP850_MEAN</t>
        </is>
      </c>
      <c r="B22" s="169" t="inlineStr">
        <is>
          <t>R&lt;0.5</t>
        </is>
      </c>
      <c r="C22" s="169">
        <f>IF(UNIT_SYSTEM="SI","9F.7/9F.8M","9F.7/9F.8")</f>
        <v/>
      </c>
      <c r="D22" s="169" t="inlineStr">
        <is>
          <t>BILINEAR_9F149</t>
        </is>
      </c>
      <c r="E22" s="169" t="inlineStr">
        <is>
          <t>Steel, marine, CP -850 mV (Ag/AgCl) - two-stage, mean</t>
        </is>
      </c>
      <c r="F22" s="169" t="inlineStr">
        <is>
          <t>Thresholds Table 9F.8; Sy &lt;= 600 MPa (87 ksi), excl. austenitic/duplex, &lt;= 20 C</t>
        </is>
      </c>
      <c r="G22" s="171">
        <f>IF(UNIT_SYSTEM="SI",IF(M22="","",M22),IF(N22="","",N22))</f>
        <v/>
      </c>
      <c r="H22" s="172" t="n">
        <v>8.16</v>
      </c>
      <c r="I22" s="171">
        <f>IF(UNIT_SYSTEM="SI",IF(O22="","",O22),IF(P22="","",P22))</f>
        <v/>
      </c>
      <c r="J22" s="172" t="n">
        <v>2.67</v>
      </c>
      <c r="K22" s="172">
        <f>IF(UNIT_SYSTEM="SI",IF(Q22="","",Q22),IF(R22="","",R22))</f>
        <v/>
      </c>
      <c r="L22" s="172">
        <f>IF(UNIT_SYSTEM="SI",IF(S22="","",S22),IF(T22="","",T22))</f>
        <v/>
      </c>
      <c r="M22" s="176" t="n">
        <v>2.1e-14</v>
      </c>
      <c r="N22" s="176" t="n">
        <v>1.79e-15</v>
      </c>
      <c r="O22" s="176" t="n">
        <v>5.22e-08</v>
      </c>
      <c r="P22" s="176" t="n">
        <v>2.64e-09</v>
      </c>
      <c r="Q22" s="174" t="n">
        <v>14.61</v>
      </c>
      <c r="R22" s="174" t="n">
        <v>13.3</v>
      </c>
      <c r="S22" s="174" t="n">
        <v>2</v>
      </c>
      <c r="T22" s="174" t="n">
        <v>1.8</v>
      </c>
    </row>
    <row r="23" ht="15" customHeight="1" s="92">
      <c r="A23" s="177" t="inlineStr">
        <is>
          <t>9F7M_MARINE_CP850_UPPER</t>
        </is>
      </c>
      <c r="B23" s="177" t="inlineStr">
        <is>
          <t>R&gt;=0.5</t>
        </is>
      </c>
      <c r="C23" s="177">
        <f>IF(UNIT_SYSTEM="SI","9F.7/9F.8M","9F.7/9F.8")</f>
        <v/>
      </c>
      <c r="D23" s="177" t="inlineStr">
        <is>
          <t>BILINEAR_9F149</t>
        </is>
      </c>
      <c r="E23" s="177" t="inlineStr">
        <is>
          <t>Steel, marine, CP -850 mV (Ag/AgCl) - two-stage, mean+2SD</t>
        </is>
      </c>
      <c r="F23" s="177" t="inlineStr">
        <is>
          <t>Thresholds Table 9F.8; Sy &lt;= 600 MPa (87 ksi), excl. austenitic/duplex, &lt;= 20 C</t>
        </is>
      </c>
      <c r="G23" s="184">
        <f>IF(UNIT_SYSTEM="SI",IF(M23="","",M23),IF(N23="","",N23))</f>
        <v/>
      </c>
      <c r="H23" s="185" t="n">
        <v>5.1</v>
      </c>
      <c r="I23" s="184">
        <f>IF(UNIT_SYSTEM="SI",IF(O23="","",O23),IF(P23="","",P23))</f>
        <v/>
      </c>
      <c r="J23" s="185" t="n">
        <v>2.67</v>
      </c>
      <c r="K23" s="185">
        <f>IF(UNIT_SYSTEM="SI",IF(Q23="","",Q23),IF(R23="","",R23))</f>
        <v/>
      </c>
      <c r="L23" s="185">
        <f>IF(UNIT_SYSTEM="SI",IF(S23="","",S23),IF(T23="","",T23))</f>
        <v/>
      </c>
      <c r="M23" s="186" t="n">
        <v>9.380000000000001e-10</v>
      </c>
      <c r="N23" s="186" t="n">
        <v>5.97e-11</v>
      </c>
      <c r="O23" s="186" t="n">
        <v>2.04e-07</v>
      </c>
      <c r="P23" s="186" t="n">
        <v>1.03e-08</v>
      </c>
      <c r="Q23" s="180" t="n">
        <v>9.17</v>
      </c>
      <c r="R23" s="180" t="n">
        <v>8.35</v>
      </c>
      <c r="S23" s="180" t="n">
        <v>2</v>
      </c>
      <c r="T23" s="180" t="n">
        <v>1.8</v>
      </c>
    </row>
    <row r="24" ht="15" customHeight="1" s="92">
      <c r="A24" s="169" t="inlineStr">
        <is>
          <t>9F7M_MARINE_CP850_MEAN</t>
        </is>
      </c>
      <c r="B24" s="169" t="inlineStr">
        <is>
          <t>R&gt;=0.5</t>
        </is>
      </c>
      <c r="C24" s="169">
        <f>IF(UNIT_SYSTEM="SI","9F.7/9F.8M","9F.7/9F.8")</f>
        <v/>
      </c>
      <c r="D24" s="169" t="inlineStr">
        <is>
          <t>BILINEAR_9F149</t>
        </is>
      </c>
      <c r="E24" s="169" t="inlineStr">
        <is>
          <t>Steel, marine, CP -850 mV (Ag/AgCl) - two-stage, mean</t>
        </is>
      </c>
      <c r="F24" s="169" t="inlineStr">
        <is>
          <t>Thresholds Table 9F.8; Sy &lt;= 600 MPa (87 ksi), excl. austenitic/duplex, &lt;= 20 C</t>
        </is>
      </c>
      <c r="G24" s="171">
        <f>IF(UNIT_SYSTEM="SI",IF(M24="","",M24),IF(N24="","",N24))</f>
        <v/>
      </c>
      <c r="H24" s="172" t="n">
        <v>5.1</v>
      </c>
      <c r="I24" s="171">
        <f>IF(UNIT_SYSTEM="SI",IF(O24="","",O24),IF(P24="","",P24))</f>
        <v/>
      </c>
      <c r="J24" s="172" t="n">
        <v>2.67</v>
      </c>
      <c r="K24" s="172">
        <f>IF(UNIT_SYSTEM="SI",IF(Q24="","",Q24),IF(R24="","",R24))</f>
        <v/>
      </c>
      <c r="L24" s="172">
        <f>IF(UNIT_SYSTEM="SI",IF(S24="","",S24),IF(T24="","",T24))</f>
        <v/>
      </c>
      <c r="M24" s="176" t="n">
        <v>2.14e-10</v>
      </c>
      <c r="N24" s="176" t="n">
        <v>1.37e-11</v>
      </c>
      <c r="O24" s="176" t="n">
        <v>6.069999999999999e-08</v>
      </c>
      <c r="P24" s="176" t="n">
        <v>3.07e-09</v>
      </c>
      <c r="Q24" s="174" t="n">
        <v>10.21</v>
      </c>
      <c r="R24" s="174" t="n">
        <v>9.300000000000001</v>
      </c>
      <c r="S24" s="174" t="n">
        <v>2</v>
      </c>
      <c r="T24" s="174" t="n">
        <v>1.8</v>
      </c>
    </row>
    <row r="25" ht="15" customHeight="1" s="92">
      <c r="A25" s="177" t="inlineStr">
        <is>
          <t>9F7M_MARINE_CP1100_UPPER</t>
        </is>
      </c>
      <c r="B25" s="177" t="inlineStr">
        <is>
          <t>R&lt;0.5</t>
        </is>
      </c>
      <c r="C25" s="177">
        <f>IF(UNIT_SYSTEM="SI","9F.7/9F.8M","9F.7/9F.8")</f>
        <v/>
      </c>
      <c r="D25" s="177" t="inlineStr">
        <is>
          <t>BILINEAR_9F149</t>
        </is>
      </c>
      <c r="E25" s="177" t="inlineStr">
        <is>
          <t>Steel, marine, CP -1100 mV (Ag/AgCl) - two-stage, mean+2SD</t>
        </is>
      </c>
      <c r="F25" s="177" t="inlineStr">
        <is>
          <t>Thresholds Table 9F.8; Sy &lt;= 600 MPa (87 ksi), excl. austenitic/duplex, &lt;= 20 C</t>
        </is>
      </c>
      <c r="G25" s="184">
        <f>IF(UNIT_SYSTEM="SI",IF(M25="","",M25),IF(N25="","",N25))</f>
        <v/>
      </c>
      <c r="H25" s="185" t="n">
        <v>8.16</v>
      </c>
      <c r="I25" s="184">
        <f>IF(UNIT_SYSTEM="SI",IF(O25="","",O25),IF(P25="","",P25))</f>
        <v/>
      </c>
      <c r="J25" s="185" t="n">
        <v>1.4</v>
      </c>
      <c r="K25" s="185">
        <f>IF(UNIT_SYSTEM="SI",IF(Q25="","",Q25),IF(R25="","",R25))</f>
        <v/>
      </c>
      <c r="L25" s="185">
        <f>IF(UNIT_SYSTEM="SI",IF(S25="","",S25),IF(T25="","",T25))</f>
        <v/>
      </c>
      <c r="M25" s="186" t="n">
        <v>7.59e-14</v>
      </c>
      <c r="N25" s="186" t="n">
        <v>6.45e-15</v>
      </c>
      <c r="O25" s="186" t="n">
        <v>1.16e-05</v>
      </c>
      <c r="P25" s="186" t="n">
        <v>5.23e-07</v>
      </c>
      <c r="Q25" s="180" t="n">
        <v>16.25</v>
      </c>
      <c r="R25" s="180" t="n">
        <v>14.79</v>
      </c>
      <c r="S25" s="180" t="n">
        <v>2</v>
      </c>
      <c r="T25" s="180" t="n">
        <v>1.8</v>
      </c>
    </row>
    <row r="26" ht="15" customHeight="1" s="92">
      <c r="A26" s="169" t="inlineStr">
        <is>
          <t>9F7M_MARINE_CP1100_MEAN</t>
        </is>
      </c>
      <c r="B26" s="169" t="inlineStr">
        <is>
          <t>R&lt;0.5</t>
        </is>
      </c>
      <c r="C26" s="169">
        <f>IF(UNIT_SYSTEM="SI","9F.7/9F.8M","9F.7/9F.8")</f>
        <v/>
      </c>
      <c r="D26" s="169" t="inlineStr">
        <is>
          <t>BILINEAR_9F149</t>
        </is>
      </c>
      <c r="E26" s="169" t="inlineStr">
        <is>
          <t>Steel, marine, CP -1100 mV (Ag/AgCl) - two-stage, mean</t>
        </is>
      </c>
      <c r="F26" s="169" t="inlineStr">
        <is>
          <t>Thresholds Table 9F.8; Sy &lt;= 600 MPa (87 ksi), excl. austenitic/duplex, &lt;= 20 C</t>
        </is>
      </c>
      <c r="G26" s="171">
        <f>IF(UNIT_SYSTEM="SI",IF(M26="","",M26),IF(N26="","",N26))</f>
        <v/>
      </c>
      <c r="H26" s="172" t="n">
        <v>8.16</v>
      </c>
      <c r="I26" s="171">
        <f>IF(UNIT_SYSTEM="SI",IF(O26="","",O26),IF(P26="","",P26))</f>
        <v/>
      </c>
      <c r="J26" s="172" t="n">
        <v>1.4</v>
      </c>
      <c r="K26" s="172">
        <f>IF(UNIT_SYSTEM="SI",IF(Q26="","",Q26),IF(R26="","",R26))</f>
        <v/>
      </c>
      <c r="L26" s="172">
        <f>IF(UNIT_SYSTEM="SI",IF(S26="","",S26),IF(T26="","",T26))</f>
        <v/>
      </c>
      <c r="M26" s="176" t="n">
        <v>2.1e-14</v>
      </c>
      <c r="N26" s="176" t="n">
        <v>1.79e-15</v>
      </c>
      <c r="O26" s="176" t="n">
        <v>6.94e-06</v>
      </c>
      <c r="P26" s="176" t="n">
        <v>3.12e-07</v>
      </c>
      <c r="Q26" s="174" t="n">
        <v>18.21</v>
      </c>
      <c r="R26" s="174" t="n">
        <v>16.58</v>
      </c>
      <c r="S26" s="174" t="n">
        <v>2</v>
      </c>
      <c r="T26" s="174" t="n">
        <v>1.8</v>
      </c>
    </row>
    <row r="27" ht="15" customHeight="1" s="92">
      <c r="A27" s="177" t="inlineStr">
        <is>
          <t>9F7M_MARINE_CP1100_UPPER</t>
        </is>
      </c>
      <c r="B27" s="177" t="inlineStr">
        <is>
          <t>R&gt;=0.5</t>
        </is>
      </c>
      <c r="C27" s="177">
        <f>IF(UNIT_SYSTEM="SI","9F.7/9F.8M","9F.7/9F.8")</f>
        <v/>
      </c>
      <c r="D27" s="177" t="inlineStr">
        <is>
          <t>BILINEAR_9F149</t>
        </is>
      </c>
      <c r="E27" s="177" t="inlineStr">
        <is>
          <t>Steel, marine, CP -1100 mV (Ag/AgCl) - two-stage, mean+2SD</t>
        </is>
      </c>
      <c r="F27" s="177" t="inlineStr">
        <is>
          <t>Thresholds Table 9F.8; Sy &lt;= 600 MPa (87 ksi), excl. austenitic/duplex, &lt;= 20 C</t>
        </is>
      </c>
      <c r="G27" s="184">
        <f>IF(UNIT_SYSTEM="SI",IF(M27="","",M27),IF(N27="","",N27))</f>
        <v/>
      </c>
      <c r="H27" s="185" t="n">
        <v>5.1</v>
      </c>
      <c r="I27" s="184">
        <f>IF(UNIT_SYSTEM="SI",IF(O27="","",O27),IF(P27="","",P27))</f>
        <v/>
      </c>
      <c r="J27" s="185" t="n">
        <v>1.4</v>
      </c>
      <c r="K27" s="185">
        <f>IF(UNIT_SYSTEM="SI",IF(Q27="","",Q27),IF(R27="","",R27))</f>
        <v/>
      </c>
      <c r="L27" s="185">
        <f>IF(UNIT_SYSTEM="SI",IF(S27="","",S27),IF(T27="","",T27))</f>
        <v/>
      </c>
      <c r="M27" s="186" t="n">
        <v>9.380000000000001e-10</v>
      </c>
      <c r="N27" s="186" t="n">
        <v>5.97e-11</v>
      </c>
      <c r="O27" s="186" t="n">
        <v>1.28e-05</v>
      </c>
      <c r="P27" s="186" t="n">
        <v>5.77e-07</v>
      </c>
      <c r="Q27" s="180" t="n">
        <v>13.12</v>
      </c>
      <c r="R27" s="180" t="n">
        <v>11.94</v>
      </c>
      <c r="S27" s="180" t="n">
        <v>2</v>
      </c>
      <c r="T27" s="180" t="n">
        <v>1.8</v>
      </c>
    </row>
    <row r="28" ht="15" customHeight="1" s="92">
      <c r="A28" s="169" t="inlineStr">
        <is>
          <t>9F7M_MARINE_CP1100_MEAN</t>
        </is>
      </c>
      <c r="B28" s="169" t="inlineStr">
        <is>
          <t>R&gt;=0.5</t>
        </is>
      </c>
      <c r="C28" s="169">
        <f>IF(UNIT_SYSTEM="SI","9F.7/9F.8M","9F.7/9F.8")</f>
        <v/>
      </c>
      <c r="D28" s="169" t="inlineStr">
        <is>
          <t>BILINEAR_9F149</t>
        </is>
      </c>
      <c r="E28" s="169" t="inlineStr">
        <is>
          <t>Steel, marine, CP -1100 mV (Ag/AgCl) - two-stage, mean</t>
        </is>
      </c>
      <c r="F28" s="169" t="inlineStr">
        <is>
          <t>Thresholds Table 9F.8; Sy &lt;= 600 MPa (87 ksi), excl. austenitic/duplex, &lt;= 20 C</t>
        </is>
      </c>
      <c r="G28" s="171">
        <f>IF(UNIT_SYSTEM="SI",IF(M28="","",M28),IF(N28="","",N28))</f>
        <v/>
      </c>
      <c r="H28" s="172" t="n">
        <v>5.1</v>
      </c>
      <c r="I28" s="171">
        <f>IF(UNIT_SYSTEM="SI",IF(O28="","",O28),IF(P28="","",P28))</f>
        <v/>
      </c>
      <c r="J28" s="172" t="n">
        <v>1.4</v>
      </c>
      <c r="K28" s="172">
        <f>IF(UNIT_SYSTEM="SI",IF(Q28="","",Q28),IF(R28="","",R28))</f>
        <v/>
      </c>
      <c r="L28" s="172">
        <f>IF(UNIT_SYSTEM="SI",IF(S28="","",S28),IF(T28="","",T28))</f>
        <v/>
      </c>
      <c r="M28" s="176" t="n">
        <v>2.14e-10</v>
      </c>
      <c r="N28" s="176" t="n">
        <v>1.37e-11</v>
      </c>
      <c r="O28" s="176" t="n">
        <v>6.61e-06</v>
      </c>
      <c r="P28" s="176" t="n">
        <v>2.97e-07</v>
      </c>
      <c r="Q28" s="174" t="n">
        <v>16.35</v>
      </c>
      <c r="R28" s="174" t="n">
        <v>14.88</v>
      </c>
      <c r="S28" s="174" t="n">
        <v>2</v>
      </c>
      <c r="T28" s="174" t="n">
        <v>1.8</v>
      </c>
    </row>
    <row r="29" ht="15" customHeight="1" s="92">
      <c r="A29" s="177" t="inlineStr">
        <is>
          <t>9F9M_BARSOM_FP</t>
        </is>
      </c>
      <c r="B29" s="177" t="inlineStr">
        <is>
          <t>ALL</t>
        </is>
      </c>
      <c r="C29" s="177">
        <f>IF(UNIT_SYSTEM="SI","9F.9M","9F.9")</f>
        <v/>
      </c>
      <c r="D29" s="177" t="inlineStr">
        <is>
          <t>PARIS_9F135</t>
        </is>
      </c>
      <c r="E29" s="177" t="inlineStr">
        <is>
          <t>Barsom &amp; Rolfe - typical ferrite-pearlite</t>
        </is>
      </c>
      <c r="F29" s="177" t="inlineStr">
        <is>
          <t>API RP 1176 line pipe, upper bound; no tabulated threshold (dKth = 0 unless overridden)</t>
        </is>
      </c>
      <c r="G29" s="184">
        <f>IF(UNIT_SYSTEM="SI",IF(M29="","",M29),IF(N29="","",N29))</f>
        <v/>
      </c>
      <c r="H29" s="185" t="n">
        <v>3</v>
      </c>
      <c r="I29" s="177">
        <f>IF(UNIT_SYSTEM="SI",IF(O29="","",O29),IF(P29="","",P29))</f>
        <v/>
      </c>
      <c r="J29" s="177" t="n"/>
      <c r="K29" s="177">
        <f>IF(UNIT_SYSTEM="SI",IF(Q29="","",Q29),IF(R29="","",R29))</f>
        <v/>
      </c>
      <c r="L29" s="185">
        <f>IF(UNIT_SYSTEM="SI",IF(S29="","",S29),IF(T29="","",T29))</f>
        <v/>
      </c>
      <c r="M29" s="186" t="n">
        <v>6.89e-09</v>
      </c>
      <c r="N29" s="186" t="n">
        <v>3.6e-10</v>
      </c>
      <c r="O29" s="182" t="n"/>
      <c r="P29" s="182" t="n"/>
      <c r="Q29" s="182" t="n"/>
      <c r="R29" s="182" t="n"/>
      <c r="S29" s="180" t="n">
        <v>0</v>
      </c>
      <c r="T29" s="180" t="n">
        <v>0</v>
      </c>
    </row>
    <row r="30" ht="15" customHeight="1" s="92">
      <c r="A30" s="169" t="inlineStr">
        <is>
          <t>9F9M_X65_AQUEOUS</t>
        </is>
      </c>
      <c r="B30" s="169" t="inlineStr">
        <is>
          <t>ALL</t>
        </is>
      </c>
      <c r="C30" s="169">
        <f>IF(UNIT_SYSTEM="SI","9F.9M","9F.9")</f>
        <v/>
      </c>
      <c r="D30" s="169" t="inlineStr">
        <is>
          <t>PARIS_9F135</t>
        </is>
      </c>
      <c r="E30" s="169" t="inlineStr">
        <is>
          <t>Vosikovsky - X65 aqueous</t>
        </is>
      </c>
      <c r="F30" s="169" t="inlineStr">
        <is>
          <t>API RP 1176 line pipe, upper bound; no tabulated threshold (dKth = 0 unless overridden)</t>
        </is>
      </c>
      <c r="G30" s="171">
        <f>IF(UNIT_SYSTEM="SI",IF(M30="","",M30),IF(N30="","",N30))</f>
        <v/>
      </c>
      <c r="H30" s="172" t="n">
        <v>2.82</v>
      </c>
      <c r="I30" s="169">
        <f>IF(UNIT_SYSTEM="SI",IF(O30="","",O30),IF(P30="","",P30))</f>
        <v/>
      </c>
      <c r="J30" s="169" t="n"/>
      <c r="K30" s="169">
        <f>IF(UNIT_SYSTEM="SI",IF(Q30="","",Q30),IF(R30="","",R30))</f>
        <v/>
      </c>
      <c r="L30" s="172">
        <f>IF(UNIT_SYSTEM="SI",IF(S30="","",S30),IF(T30="","",T30))</f>
        <v/>
      </c>
      <c r="M30" s="176" t="n">
        <v>1.01e-08</v>
      </c>
      <c r="N30" s="176" t="n">
        <v>5.2e-10</v>
      </c>
      <c r="O30" s="183" t="n"/>
      <c r="P30" s="183" t="n"/>
      <c r="Q30" s="183" t="n"/>
      <c r="R30" s="183" t="n"/>
      <c r="S30" s="174" t="n">
        <v>0</v>
      </c>
      <c r="T30" s="174" t="n">
        <v>0</v>
      </c>
    </row>
    <row r="31" ht="15" customHeight="1" s="92">
      <c r="A31" s="177" t="inlineStr">
        <is>
          <t>9F9M_GRADE_B</t>
        </is>
      </c>
      <c r="B31" s="177" t="inlineStr">
        <is>
          <t>ALL</t>
        </is>
      </c>
      <c r="C31" s="177">
        <f>IF(UNIT_SYSTEM="SI","9F.9M","9F.9")</f>
        <v/>
      </c>
      <c r="D31" s="177" t="inlineStr">
        <is>
          <t>PARIS_9F135</t>
        </is>
      </c>
      <c r="E31" s="177" t="inlineStr">
        <is>
          <t>Andreason &amp; Vitovec - Grade B</t>
        </is>
      </c>
      <c r="F31" s="177" t="inlineStr">
        <is>
          <t>API RP 1176 line pipe, upper bound; no tabulated threshold (dKth = 0 unless overridden)</t>
        </is>
      </c>
      <c r="G31" s="184">
        <f>IF(UNIT_SYSTEM="SI",IF(M31="","",M31),IF(N31="","",N31))</f>
        <v/>
      </c>
      <c r="H31" s="185" t="n">
        <v>5.4</v>
      </c>
      <c r="I31" s="177">
        <f>IF(UNIT_SYSTEM="SI",IF(O31="","",O31),IF(P31="","",P31))</f>
        <v/>
      </c>
      <c r="J31" s="177" t="n"/>
      <c r="K31" s="177">
        <f>IF(UNIT_SYSTEM="SI",IF(Q31="","",Q31),IF(R31="","",R31))</f>
        <v/>
      </c>
      <c r="L31" s="185">
        <f>IF(UNIT_SYSTEM="SI",IF(S31="","",S31),IF(T31="","",T31))</f>
        <v/>
      </c>
      <c r="M31" s="186" t="n">
        <v>3.28e-12</v>
      </c>
      <c r="N31" s="186" t="n">
        <v>2.15e-13</v>
      </c>
      <c r="O31" s="182" t="n"/>
      <c r="P31" s="182" t="n"/>
      <c r="Q31" s="182" t="n"/>
      <c r="R31" s="182" t="n"/>
      <c r="S31" s="180" t="n">
        <v>0</v>
      </c>
      <c r="T31" s="180" t="n">
        <v>0</v>
      </c>
    </row>
    <row r="32" ht="15" customHeight="1" s="92">
      <c r="A32" s="169" t="inlineStr">
        <is>
          <t>9F9M_X52_DOE</t>
        </is>
      </c>
      <c r="B32" s="169" t="inlineStr">
        <is>
          <t>ALL</t>
        </is>
      </c>
      <c r="C32" s="169">
        <f>IF(UNIT_SYSTEM="SI","9F.9M","9F.9")</f>
        <v/>
      </c>
      <c r="D32" s="169" t="inlineStr">
        <is>
          <t>PARIS_9F135</t>
        </is>
      </c>
      <c r="E32" s="169" t="inlineStr">
        <is>
          <t>Keller et al. (DOE) - X52</t>
        </is>
      </c>
      <c r="F32" s="169" t="inlineStr">
        <is>
          <t>API RP 1176 line pipe, upper bound; no tabulated threshold (dKth = 0 unless overridden)</t>
        </is>
      </c>
      <c r="G32" s="171">
        <f>IF(UNIT_SYSTEM="SI",IF(M32="","",M32),IF(N32="","",N32))</f>
        <v/>
      </c>
      <c r="H32" s="172" t="n">
        <v>3.77</v>
      </c>
      <c r="I32" s="169">
        <f>IF(UNIT_SYSTEM="SI",IF(O32="","",O32),IF(P32="","",P32))</f>
        <v/>
      </c>
      <c r="J32" s="169" t="n"/>
      <c r="K32" s="169">
        <f>IF(UNIT_SYSTEM="SI",IF(Q32="","",Q32),IF(R32="","",R32))</f>
        <v/>
      </c>
      <c r="L32" s="172">
        <f>IF(UNIT_SYSTEM="SI",IF(S32="","",S32),IF(T32="","",T32))</f>
        <v/>
      </c>
      <c r="M32" s="176" t="n">
        <v>7.66e-10</v>
      </c>
      <c r="N32" s="176" t="n">
        <v>4.3e-11</v>
      </c>
      <c r="O32" s="183" t="n"/>
      <c r="P32" s="183" t="n"/>
      <c r="Q32" s="183" t="n"/>
      <c r="R32" s="183" t="n"/>
      <c r="S32" s="174" t="n">
        <v>0</v>
      </c>
      <c r="T32" s="174" t="n">
        <v>0</v>
      </c>
    </row>
    <row r="33" ht="15" customHeight="1" s="92">
      <c r="A33" s="177" t="inlineStr">
        <is>
          <t>9F9M_TMCP</t>
        </is>
      </c>
      <c r="B33" s="177" t="inlineStr">
        <is>
          <t>ALL</t>
        </is>
      </c>
      <c r="C33" s="177">
        <f>IF(UNIT_SYSTEM="SI","9F.9M","9F.9")</f>
        <v/>
      </c>
      <c r="D33" s="177" t="inlineStr">
        <is>
          <t>PARIS_9F135</t>
        </is>
      </c>
      <c r="E33" s="177" t="inlineStr">
        <is>
          <t>San Marchi / Stahlheim - TMCP</t>
        </is>
      </c>
      <c r="F33" s="177" t="inlineStr">
        <is>
          <t>API RP 1176 line pipe, upper bound; no tabulated threshold (dKth = 0 unless overridden)</t>
        </is>
      </c>
      <c r="G33" s="184">
        <f>IF(UNIT_SYSTEM="SI",IF(M33="","",M33),IF(N33="","",N33))</f>
        <v/>
      </c>
      <c r="H33" s="185" t="n">
        <v>3.5</v>
      </c>
      <c r="I33" s="177">
        <f>IF(UNIT_SYSTEM="SI",IF(O33="","",O33),IF(P33="","",P33))</f>
        <v/>
      </c>
      <c r="J33" s="177" t="n"/>
      <c r="K33" s="177">
        <f>IF(UNIT_SYSTEM="SI",IF(Q33="","",Q33),IF(R33="","",R33))</f>
        <v/>
      </c>
      <c r="L33" s="185">
        <f>IF(UNIT_SYSTEM="SI",IF(S33="","",S33),IF(T33="","",T33))</f>
        <v/>
      </c>
      <c r="M33" s="186" t="n">
        <v>2.45e-12</v>
      </c>
      <c r="N33" s="186" t="n">
        <v>1.34e-13</v>
      </c>
      <c r="O33" s="182" t="n"/>
      <c r="P33" s="182" t="n"/>
      <c r="Q33" s="182" t="n"/>
      <c r="R33" s="182" t="n"/>
      <c r="S33" s="180" t="n">
        <v>0</v>
      </c>
      <c r="T33" s="180" t="n">
        <v>0</v>
      </c>
    </row>
    <row r="34" ht="15" customHeight="1" s="92">
      <c r="A34" s="169" t="inlineStr">
        <is>
          <t>9F9M_VINTAGE_DC_ERW</t>
        </is>
      </c>
      <c r="B34" s="169" t="inlineStr">
        <is>
          <t>ALL</t>
        </is>
      </c>
      <c r="C34" s="169">
        <f>IF(UNIT_SYSTEM="SI","9F.9M","9F.9")</f>
        <v/>
      </c>
      <c r="D34" s="169" t="inlineStr">
        <is>
          <t>PARIS_9F135</t>
        </is>
      </c>
      <c r="E34" s="169" t="inlineStr">
        <is>
          <t>Vintage 1950s - Youngstown DC-ERW</t>
        </is>
      </c>
      <c r="F34" s="169" t="inlineStr">
        <is>
          <t>API RP 1176 line pipe, upper bound; no tabulated threshold (dKth = 0 unless overridden)</t>
        </is>
      </c>
      <c r="G34" s="171">
        <f>IF(UNIT_SYSTEM="SI",IF(M34="","",M34),IF(N34="","",N34))</f>
        <v/>
      </c>
      <c r="H34" s="172" t="n">
        <v>3.31</v>
      </c>
      <c r="I34" s="169">
        <f>IF(UNIT_SYSTEM="SI",IF(O34="","",O34),IF(P34="","",P34))</f>
        <v/>
      </c>
      <c r="J34" s="169" t="n"/>
      <c r="K34" s="169">
        <f>IF(UNIT_SYSTEM="SI",IF(Q34="","",Q34),IF(R34="","",R34))</f>
        <v/>
      </c>
      <c r="L34" s="172">
        <f>IF(UNIT_SYSTEM="SI",IF(S34="","",S34),IF(T34="","",T34))</f>
        <v/>
      </c>
      <c r="M34" s="176" t="n">
        <v>2.08e-09</v>
      </c>
      <c r="N34" s="176" t="n">
        <v>1.12e-10</v>
      </c>
      <c r="O34" s="183" t="n"/>
      <c r="P34" s="183" t="n"/>
      <c r="Q34" s="183" t="n"/>
      <c r="R34" s="183" t="n"/>
      <c r="S34" s="174" t="n">
        <v>0</v>
      </c>
      <c r="T34" s="174" t="n">
        <v>0</v>
      </c>
    </row>
    <row r="35" ht="15" customHeight="1" s="92">
      <c r="A35" s="177" t="inlineStr">
        <is>
          <t>9F9M_VINTAGE_KAISER_SSAW</t>
        </is>
      </c>
      <c r="B35" s="177" t="inlineStr">
        <is>
          <t>ALL</t>
        </is>
      </c>
      <c r="C35" s="177">
        <f>IF(UNIT_SYSTEM="SI","9F.9M","9F.9")</f>
        <v/>
      </c>
      <c r="D35" s="177" t="inlineStr">
        <is>
          <t>PARIS_9F135</t>
        </is>
      </c>
      <c r="E35" s="177" t="inlineStr">
        <is>
          <t>Vintage 1950s - Kaiser SSAW</t>
        </is>
      </c>
      <c r="F35" s="177" t="inlineStr">
        <is>
          <t>API RP 1176 line pipe, upper bound; no tabulated threshold (dKth = 0 unless overridden)</t>
        </is>
      </c>
      <c r="G35" s="184">
        <f>IF(UNIT_SYSTEM="SI",IF(M35="","",M35),IF(N35="","",N35))</f>
        <v/>
      </c>
      <c r="H35" s="185" t="n">
        <v>4.01</v>
      </c>
      <c r="I35" s="177">
        <f>IF(UNIT_SYSTEM="SI",IF(O35="","",O35),IF(P35="","",P35))</f>
        <v/>
      </c>
      <c r="J35" s="177" t="n"/>
      <c r="K35" s="177">
        <f>IF(UNIT_SYSTEM="SI",IF(Q35="","",Q35),IF(R35="","",R35))</f>
        <v/>
      </c>
      <c r="L35" s="185">
        <f>IF(UNIT_SYSTEM="SI",IF(S35="","",S35),IF(T35="","",T35))</f>
        <v/>
      </c>
      <c r="M35" s="186" t="n">
        <v>2.63e-10</v>
      </c>
      <c r="N35" s="186" t="n">
        <v>1.51e-11</v>
      </c>
      <c r="O35" s="182" t="n"/>
      <c r="P35" s="182" t="n"/>
      <c r="Q35" s="182" t="n"/>
      <c r="R35" s="182" t="n"/>
      <c r="S35" s="180" t="n">
        <v>0</v>
      </c>
      <c r="T35" s="180" t="n">
        <v>0</v>
      </c>
    </row>
    <row r="36" ht="15" customHeight="1" s="92">
      <c r="A36" s="169" t="inlineStr">
        <is>
          <t>9F9M_VINTAGE_AO_SMITH</t>
        </is>
      </c>
      <c r="B36" s="169" t="inlineStr">
        <is>
          <t>ALL</t>
        </is>
      </c>
      <c r="C36" s="169">
        <f>IF(UNIT_SYSTEM="SI","9F.9M","9F.9")</f>
        <v/>
      </c>
      <c r="D36" s="169" t="inlineStr">
        <is>
          <t>PARIS_9F135</t>
        </is>
      </c>
      <c r="E36" s="169" t="inlineStr">
        <is>
          <t>Vintage 1950s - A.O. Smith</t>
        </is>
      </c>
      <c r="F36" s="169" t="inlineStr">
        <is>
          <t>API RP 1176 line pipe, upper bound; no tabulated threshold (dKth = 0 unless overridden)</t>
        </is>
      </c>
      <c r="G36" s="171">
        <f>IF(UNIT_SYSTEM="SI",IF(M36="","",M36),IF(N36="","",N36))</f>
        <v/>
      </c>
      <c r="H36" s="172" t="n">
        <v>3.89</v>
      </c>
      <c r="I36" s="169">
        <f>IF(UNIT_SYSTEM="SI",IF(O36="","",O36),IF(P36="","",P36))</f>
        <v/>
      </c>
      <c r="J36" s="169" t="n"/>
      <c r="K36" s="169">
        <f>IF(UNIT_SYSTEM="SI",IF(Q36="","",Q36),IF(R36="","",R36))</f>
        <v/>
      </c>
      <c r="L36" s="172">
        <f>IF(UNIT_SYSTEM="SI",IF(S36="","",S36),IF(T36="","",T36))</f>
        <v/>
      </c>
      <c r="M36" s="176" t="n">
        <v>4.1e-10</v>
      </c>
      <c r="N36" s="176" t="n">
        <v>2.33e-11</v>
      </c>
      <c r="O36" s="183" t="n"/>
      <c r="P36" s="183" t="n"/>
      <c r="Q36" s="183" t="n"/>
      <c r="R36" s="183" t="n"/>
      <c r="S36" s="174" t="n">
        <v>0</v>
      </c>
      <c r="T36" s="174" t="n">
        <v>0</v>
      </c>
    </row>
    <row r="37" ht="15" customHeight="1" s="92">
      <c r="A37" s="177" t="inlineStr">
        <is>
          <t>9F9M_X60_SCC_FATIGUE</t>
        </is>
      </c>
      <c r="B37" s="177" t="inlineStr">
        <is>
          <t>ALL</t>
        </is>
      </c>
      <c r="C37" s="177">
        <f>IF(UNIT_SYSTEM="SI","9F.9M","9F.9")</f>
        <v/>
      </c>
      <c r="D37" s="177" t="inlineStr">
        <is>
          <t>PARIS_9F135</t>
        </is>
      </c>
      <c r="E37" s="177" t="inlineStr">
        <is>
          <t>Lambert et al. - X60 fatigue component of SCC lab test</t>
        </is>
      </c>
      <c r="F37" s="177" t="inlineStr">
        <is>
          <t>API RP 1176 line pipe, upper bound; no tabulated threshold (dKth = 0 unless overridden)</t>
        </is>
      </c>
      <c r="G37" s="184">
        <f>IF(UNIT_SYSTEM="SI",IF(M37="","",M37),IF(N37="","",N37))</f>
        <v/>
      </c>
      <c r="H37" s="185" t="n">
        <v>3.97</v>
      </c>
      <c r="I37" s="177">
        <f>IF(UNIT_SYSTEM="SI",IF(O37="","",O37),IF(P37="","",P37))</f>
        <v/>
      </c>
      <c r="J37" s="177" t="n"/>
      <c r="K37" s="177">
        <f>IF(UNIT_SYSTEM="SI",IF(Q37="","",Q37),IF(R37="","",R37))</f>
        <v/>
      </c>
      <c r="L37" s="185">
        <f>IF(UNIT_SYSTEM="SI",IF(S37="","",S37),IF(T37="","",T37))</f>
        <v/>
      </c>
      <c r="M37" s="186" t="n">
        <v>2.67e-13</v>
      </c>
      <c r="N37" s="186" t="n">
        <v>1.53e-14</v>
      </c>
      <c r="O37" s="182" t="n"/>
      <c r="P37" s="182" t="n"/>
      <c r="Q37" s="182" t="n"/>
      <c r="R37" s="182" t="n"/>
      <c r="S37" s="180" t="n">
        <v>0</v>
      </c>
      <c r="T37" s="180" t="n">
        <v>0</v>
      </c>
    </row>
    <row r="38" ht="15" customHeight="1" s="92">
      <c r="A38" s="169" t="inlineStr">
        <is>
          <t>9F9M_X52_ERW_AIR</t>
        </is>
      </c>
      <c r="B38" s="169" t="inlineStr">
        <is>
          <t>ALL</t>
        </is>
      </c>
      <c r="C38" s="169">
        <f>IF(UNIT_SYSTEM="SI","9F.9M","9F.9")</f>
        <v/>
      </c>
      <c r="D38" s="169" t="inlineStr">
        <is>
          <t>PARIS_9F135</t>
        </is>
      </c>
      <c r="E38" s="169" t="inlineStr">
        <is>
          <t>Maxey - 250/300 mm OD X52 ERW, air</t>
        </is>
      </c>
      <c r="F38" s="169" t="inlineStr">
        <is>
          <t>API RP 1176 line pipe, upper bound; no tabulated threshold (dKth = 0 unless overridden)</t>
        </is>
      </c>
      <c r="G38" s="171">
        <f>IF(UNIT_SYSTEM="SI",IF(M38="","",M38),IF(N38="","",N38))</f>
        <v/>
      </c>
      <c r="H38" s="172" t="n">
        <v>4</v>
      </c>
      <c r="I38" s="169">
        <f>IF(UNIT_SYSTEM="SI",IF(O38="","",O38),IF(P38="","",P38))</f>
        <v/>
      </c>
      <c r="J38" s="169" t="n"/>
      <c r="K38" s="169">
        <f>IF(UNIT_SYSTEM="SI",IF(Q38="","",Q38),IF(R38="","",R38))</f>
        <v/>
      </c>
      <c r="L38" s="172">
        <f>IF(UNIT_SYSTEM="SI",IF(S38="","",S38),IF(T38="","",T38))</f>
        <v/>
      </c>
      <c r="M38" s="176" t="n">
        <v>3.69e-10</v>
      </c>
      <c r="N38" s="176" t="n">
        <v>2.12e-11</v>
      </c>
      <c r="O38" s="183" t="n"/>
      <c r="P38" s="183" t="n"/>
      <c r="Q38" s="183" t="n"/>
      <c r="R38" s="183" t="n"/>
      <c r="S38" s="174" t="n">
        <v>0</v>
      </c>
      <c r="T38" s="174" t="n">
        <v>0</v>
      </c>
    </row>
    <row r="39" ht="15" customHeight="1" s="92">
      <c r="A39" s="177" t="inlineStr">
        <is>
          <t>9F9M_X52_ERW_NACL</t>
        </is>
      </c>
      <c r="B39" s="177" t="inlineStr">
        <is>
          <t>ALL</t>
        </is>
      </c>
      <c r="C39" s="177">
        <f>IF(UNIT_SYSTEM="SI","9F.9M","9F.9")</f>
        <v/>
      </c>
      <c r="D39" s="177" t="inlineStr">
        <is>
          <t>PARIS_9F135</t>
        </is>
      </c>
      <c r="E39" s="177" t="inlineStr">
        <is>
          <t>Maxey - 250/300 mm OD X52 ERW, NaCl free corrosion</t>
        </is>
      </c>
      <c r="F39" s="177" t="inlineStr">
        <is>
          <t>API RP 1176 line pipe, upper bound; no tabulated threshold (dKth = 0 unless overridden)</t>
        </is>
      </c>
      <c r="G39" s="184">
        <f>IF(UNIT_SYSTEM="SI",IF(M39="","",M39),IF(N39="","",N39))</f>
        <v/>
      </c>
      <c r="H39" s="185" t="n">
        <v>3.6</v>
      </c>
      <c r="I39" s="177">
        <f>IF(UNIT_SYSTEM="SI",IF(O39="","",O39),IF(P39="","",P39))</f>
        <v/>
      </c>
      <c r="J39" s="177" t="n"/>
      <c r="K39" s="177">
        <f>IF(UNIT_SYSTEM="SI",IF(Q39="","",Q39),IF(R39="","",R39))</f>
        <v/>
      </c>
      <c r="L39" s="185">
        <f>IF(UNIT_SYSTEM="SI",IF(S39="","",S39),IF(T39="","",T39))</f>
        <v/>
      </c>
      <c r="M39" s="186" t="n">
        <v>1.51e-09</v>
      </c>
      <c r="N39" s="186" t="n">
        <v>8.33e-11</v>
      </c>
      <c r="O39" s="182" t="n"/>
      <c r="P39" s="182" t="n"/>
      <c r="Q39" s="182" t="n"/>
      <c r="R39" s="182" t="n"/>
      <c r="S39" s="180" t="n">
        <v>0</v>
      </c>
      <c r="T39" s="180" t="n">
        <v>0</v>
      </c>
    </row>
    <row r="40" ht="15" customHeight="1" s="92">
      <c r="A40" s="169" t="inlineStr">
        <is>
          <t>9F9M_X65_AIR</t>
        </is>
      </c>
      <c r="B40" s="169" t="inlineStr">
        <is>
          <t>ALL</t>
        </is>
      </c>
      <c r="C40" s="169">
        <f>IF(UNIT_SYSTEM="SI","9F.9M","9F.9")</f>
        <v/>
      </c>
      <c r="D40" s="169" t="inlineStr">
        <is>
          <t>BILINEAR_9F149</t>
        </is>
      </c>
      <c r="E40" s="169" t="inlineStr">
        <is>
          <t>Vosikovsky - X65 air (bilinear)</t>
        </is>
      </c>
      <c r="F40" s="169" t="inlineStr">
        <is>
          <t>API RP 1176 line pipe, upper bound; no tabulated threshold</t>
        </is>
      </c>
      <c r="G40" s="171">
        <f>IF(UNIT_SYSTEM="SI",IF(M40="","",M40),IF(N40="","",N40))</f>
        <v/>
      </c>
      <c r="H40" s="172" t="n">
        <v>3.5</v>
      </c>
      <c r="I40" s="171">
        <f>IF(UNIT_SYSTEM="SI",IF(O40="","",O40),IF(P40="","",P40))</f>
        <v/>
      </c>
      <c r="J40" s="172" t="n">
        <v>2.5</v>
      </c>
      <c r="K40" s="172">
        <f>IF(UNIT_SYSTEM="SI",IF(Q40="","",Q40),IF(R40="","",R40))</f>
        <v/>
      </c>
      <c r="L40" s="172">
        <f>IF(UNIT_SYSTEM="SI",IF(S40="","",S40),IF(T40="","",T40))</f>
        <v/>
      </c>
      <c r="M40" s="176" t="n">
        <v>1.24e-09</v>
      </c>
      <c r="N40" s="176" t="n">
        <v>6.8e-11</v>
      </c>
      <c r="O40" s="176" t="n">
        <v>5.42e-08</v>
      </c>
      <c r="P40" s="176" t="n">
        <v>2.7e-09</v>
      </c>
      <c r="Q40" s="174" t="n">
        <v>20</v>
      </c>
      <c r="R40" s="174" t="n">
        <v>18</v>
      </c>
      <c r="S40" s="174" t="n">
        <v>0</v>
      </c>
      <c r="T40" s="174" t="n">
        <v>0</v>
      </c>
    </row>
    <row r="41" ht="15" customHeight="1" s="92">
      <c r="A41" s="177" t="inlineStr">
        <is>
          <t>9F9M_X65_SWEAT_CRUDE</t>
        </is>
      </c>
      <c r="B41" s="177" t="inlineStr">
        <is>
          <t>ALL</t>
        </is>
      </c>
      <c r="C41" s="177">
        <f>IF(UNIT_SYSTEM="SI","9F.9M","9F.9")</f>
        <v/>
      </c>
      <c r="D41" s="177" t="inlineStr">
        <is>
          <t>BILINEAR_9F149</t>
        </is>
      </c>
      <c r="E41" s="177" t="inlineStr">
        <is>
          <t>Vosikovsky - X65 sweat crude (bilinear)</t>
        </is>
      </c>
      <c r="F41" s="177" t="inlineStr">
        <is>
          <t>API RP 1176 line pipe, upper bound; no tabulated threshold</t>
        </is>
      </c>
      <c r="G41" s="184">
        <f>IF(UNIT_SYSTEM="SI",IF(M41="","",M41),IF(N41="","",N41))</f>
        <v/>
      </c>
      <c r="H41" s="185" t="n">
        <v>4.8</v>
      </c>
      <c r="I41" s="184">
        <f>IF(UNIT_SYSTEM="SI",IF(O41="","",O41),IF(P41="","",P41))</f>
        <v/>
      </c>
      <c r="J41" s="185" t="n">
        <v>1.9</v>
      </c>
      <c r="K41" s="185">
        <f>IF(UNIT_SYSTEM="SI",IF(Q41="","",Q41),IF(R41="","",R41))</f>
        <v/>
      </c>
      <c r="L41" s="185">
        <f>IF(UNIT_SYSTEM="SI",IF(S41="","",S41),IF(T41="","",T41))</f>
        <v/>
      </c>
      <c r="M41" s="186" t="n">
        <v>2.26e-11</v>
      </c>
      <c r="N41" s="186" t="n">
        <v>1.4e-12</v>
      </c>
      <c r="O41" s="186" t="n">
        <v>8.07e-07</v>
      </c>
      <c r="P41" s="186" t="n">
        <v>3.8e-08</v>
      </c>
      <c r="Q41" s="180" t="n">
        <v>34</v>
      </c>
      <c r="R41" s="180" t="n">
        <v>31</v>
      </c>
      <c r="S41" s="180" t="n">
        <v>0</v>
      </c>
      <c r="T41" s="180" t="n">
        <v>0</v>
      </c>
    </row>
    <row r="42" ht="15" customHeight="1" s="92">
      <c r="A42" s="169" t="inlineStr">
        <is>
          <t>9F9M_X65_SOUR_CRUDE</t>
        </is>
      </c>
      <c r="B42" s="169" t="inlineStr">
        <is>
          <t>ALL</t>
        </is>
      </c>
      <c r="C42" s="169">
        <f>IF(UNIT_SYSTEM="SI","9F.9M","9F.9")</f>
        <v/>
      </c>
      <c r="D42" s="169" t="inlineStr">
        <is>
          <t>BILINEAR_9F149</t>
        </is>
      </c>
      <c r="E42" s="169" t="inlineStr">
        <is>
          <t>Vosikovsky - X65 sour crude (bilinear)</t>
        </is>
      </c>
      <c r="F42" s="169" t="inlineStr">
        <is>
          <t>API RP 1176 line pipe, upper bound; no tabulated threshold</t>
        </is>
      </c>
      <c r="G42" s="171">
        <f>IF(UNIT_SYSTEM="SI",IF(M42="","",M42),IF(N42="","",N42))</f>
        <v/>
      </c>
      <c r="H42" s="172" t="n">
        <v>6.4</v>
      </c>
      <c r="I42" s="171">
        <f>IF(UNIT_SYSTEM="SI",IF(O42="","",O42),IF(P42="","",P42))</f>
        <v/>
      </c>
      <c r="J42" s="172" t="n">
        <v>2.7</v>
      </c>
      <c r="K42" s="172">
        <f>IF(UNIT_SYSTEM="SI",IF(Q42="","",Q42),IF(R42="","",R42))</f>
        <v/>
      </c>
      <c r="L42" s="172">
        <f>IF(UNIT_SYSTEM="SI",IF(S42="","",S42),IF(T42="","",T42))</f>
        <v/>
      </c>
      <c r="M42" s="176" t="n">
        <v>1.01e-12</v>
      </c>
      <c r="N42" s="176" t="n">
        <v>7.3e-14</v>
      </c>
      <c r="O42" s="176" t="n">
        <v>1.75e-07</v>
      </c>
      <c r="P42" s="176" t="n">
        <v>8.9e-09</v>
      </c>
      <c r="Q42" s="174" t="n">
        <v>25</v>
      </c>
      <c r="R42" s="174" t="n">
        <v>23</v>
      </c>
      <c r="S42" s="174" t="n">
        <v>0</v>
      </c>
      <c r="T42" s="174" t="n">
        <v>0</v>
      </c>
    </row>
    <row r="43" ht="15" customHeight="1" s="92">
      <c r="A43" s="177" t="inlineStr">
        <is>
          <t>9F5339_SOUR_CRUDE</t>
        </is>
      </c>
      <c r="B43" s="177" t="inlineStr">
        <is>
          <t>ALL</t>
        </is>
      </c>
      <c r="C43" s="177">
        <f>IF(UNIT_SYSTEM="SI","9F.5.3.9M","9F.5.3.9")</f>
        <v/>
      </c>
      <c r="D43" s="177" t="inlineStr">
        <is>
          <t>PIPELINE_9F156</t>
        </is>
      </c>
      <c r="E43" s="177" t="inlineStr">
        <is>
          <t>Pipeline steel, sour crude (H2S) - Eqs. 9F.156-9F.164 (mean)</t>
        </is>
      </c>
      <c r="F43" s="177" t="inlineStr">
        <is>
          <t>API 5L at ambient temperature; requires H2S ppm</t>
        </is>
      </c>
      <c r="G43" s="177">
        <f>IF(UNIT_SYSTEM="SI",IF(M43="","",M43),IF(N43="","",N43))</f>
        <v/>
      </c>
      <c r="H43" s="177" t="n"/>
      <c r="I43" s="177">
        <f>IF(UNIT_SYSTEM="SI",IF(O43="","",O43),IF(P43="","",P43))</f>
        <v/>
      </c>
      <c r="J43" s="177" t="n"/>
      <c r="K43" s="177">
        <f>IF(UNIT_SYSTEM="SI",IF(Q43="","",Q43),IF(R43="","",R43))</f>
        <v/>
      </c>
      <c r="L43" s="185">
        <f>IF(UNIT_SYSTEM="SI",IF(S43="","",S43),IF(T43="","",T43))</f>
        <v/>
      </c>
      <c r="M43" s="182" t="n"/>
      <c r="N43" s="182" t="n"/>
      <c r="O43" s="182" t="n"/>
      <c r="P43" s="182" t="n"/>
      <c r="Q43" s="182" t="n"/>
      <c r="R43" s="182" t="n"/>
      <c r="S43" s="180" t="n">
        <v>6</v>
      </c>
      <c r="T43" s="182" t="n"/>
    </row>
    <row r="44" ht="15" customHeight="1" s="92">
      <c r="A44" s="169" t="inlineStr">
        <is>
          <t>9F5339_SWEAT_CRUDE</t>
        </is>
      </c>
      <c r="B44" s="169" t="inlineStr">
        <is>
          <t>ALL</t>
        </is>
      </c>
      <c r="C44" s="169">
        <f>IF(UNIT_SYSTEM="SI","9F.5.3.9M","9F.5.3.9")</f>
        <v/>
      </c>
      <c r="D44" s="169" t="inlineStr">
        <is>
          <t>PIPELINE_9F156</t>
        </is>
      </c>
      <c r="E44" s="169" t="inlineStr">
        <is>
          <t>Pipeline steel, sweat crude - Eqs. 9F.156-9F.159, 9F.165-9F.169 (mean)</t>
        </is>
      </c>
      <c r="F44" s="169" t="inlineStr">
        <is>
          <t>API 5L at ambient temperature</t>
        </is>
      </c>
      <c r="G44" s="171">
        <f>IF(UNIT_SYSTEM="SI",IF(M44="","",M44),IF(N44="","",N44))</f>
        <v/>
      </c>
      <c r="H44" s="172" t="n">
        <v>4.8</v>
      </c>
      <c r="I44" s="171">
        <f>IF(UNIT_SYSTEM="SI",IF(O44="","",O44),IF(P44="","",P44))</f>
        <v/>
      </c>
      <c r="J44" s="172" t="n">
        <v>1.9</v>
      </c>
      <c r="K44" s="169">
        <f>IF(UNIT_SYSTEM="SI",IF(Q44="","",Q44),IF(R44="","",R44))</f>
        <v/>
      </c>
      <c r="L44" s="172">
        <f>IF(UNIT_SYSTEM="SI",IF(S44="","",S44),IF(T44="","",T44))</f>
        <v/>
      </c>
      <c r="M44" s="176" t="n">
        <v>1.48e-11</v>
      </c>
      <c r="N44" s="183" t="n"/>
      <c r="O44" s="176" t="n">
        <v>4e-07</v>
      </c>
      <c r="P44" s="183" t="n"/>
      <c r="Q44" s="183" t="n"/>
      <c r="R44" s="183" t="n"/>
      <c r="S44" s="174" t="n">
        <v>8</v>
      </c>
      <c r="T44" s="183" t="n"/>
    </row>
    <row r="46" ht="15" customHeight="1" s="92">
      <c r="A46" s="115" t="inlineStr">
        <is>
          <t>Source: data/growth_models.csv (SI Tables 9F.xM / US Customary Tables 9F.x). PROJECT_* models take constants from the material record or 4_Crack_Growth. 9F.5.3.9 equations are SI-only in the standard. Values follow the Unit System drop-down on the Cover sheet.</t>
        </is>
      </c>
    </row>
  </sheetData>
  <autoFilter ref="A1:T44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1" min="1" max="1"/>
    <col width="12" customWidth="1" style="91" min="2" max="5"/>
  </cols>
  <sheetData>
    <row r="1" ht="30" customHeight="1" s="92">
      <c r="A1" s="167" t="inlineStr">
        <is>
          <t>method_id</t>
        </is>
      </c>
      <c r="B1" s="167" t="inlineStr">
        <is>
          <t>clause</t>
        </is>
      </c>
      <c r="C1" s="167" t="inlineStr">
        <is>
          <t>scope</t>
        </is>
      </c>
      <c r="D1" s="167" t="inlineStr">
        <is>
          <t>status</t>
        </is>
      </c>
      <c r="E1" s="167" t="inlineStr">
        <is>
          <t>summary</t>
        </is>
      </c>
    </row>
    <row r="2" ht="15" customHeight="1" s="92">
      <c r="A2" s="169" t="inlineStr">
        <is>
          <t>PROJECT_KMAT</t>
        </is>
      </c>
      <c r="B2" s="169" t="inlineStr">
        <is>
          <t>9.3.5.2</t>
        </is>
      </c>
      <c r="C2" s="169" t="inlineStr">
        <is>
          <t>Any</t>
        </is>
      </c>
      <c r="D2" s="169" t="inlineStr">
        <is>
          <t>IMPLEMENTED</t>
        </is>
      </c>
      <c r="E2" s="169" t="inlineStr">
        <is>
          <t>Approved measured/project Kmat, or Kmat stored in the material record</t>
        </is>
      </c>
    </row>
    <row r="3" ht="15" customHeight="1" s="92">
      <c r="A3" s="177" t="inlineStr">
        <is>
          <t>PROJECT_TEST_SET</t>
        </is>
      </c>
      <c r="B3" s="177" t="inlineStr">
        <is>
          <t>9F.3.3.2(c) / Table 9F.1</t>
        </is>
      </c>
      <c r="C3" s="177" t="inlineStr">
        <is>
          <t>Any</t>
        </is>
      </c>
      <c r="D3" s="177" t="inlineStr">
        <is>
          <t>IMPLEMENTED</t>
        </is>
      </c>
      <c r="E3" s="177" t="inlineStr">
        <is>
          <t>Equivalent minimum-of-three from 3-30 test values with Table 9F.1 Note 2 scatter check</t>
        </is>
      </c>
    </row>
    <row r="4" ht="15" customHeight="1" s="92">
      <c r="A4" s="169" t="inlineStr">
        <is>
          <t>9F412_AUSTENITIC_JC</t>
        </is>
      </c>
      <c r="B4" s="169" t="inlineStr">
        <is>
          <t>9F.4.12 / Table 9F.2</t>
        </is>
      </c>
      <c r="C4" s="169" t="inlineStr">
        <is>
          <t>Austenitic SS 304/308/309/316/321/347</t>
        </is>
      </c>
      <c r="D4" s="169" t="inlineStr">
        <is>
          <t>IMPLEMENTED</t>
        </is>
      </c>
      <c r="E4" s="169" t="inlineStr">
        <is>
          <t>Jc (mean or 90/95 lower bound) -&gt; KJc by Eq. 9F.36; linear interpolation 125-400 C (257-752 F) per Note 3</t>
        </is>
      </c>
    </row>
    <row r="5" ht="15" customHeight="1" s="92">
      <c r="A5" s="177" t="inlineStr">
        <is>
          <t>9F42_ASME_XI_LOWER</t>
        </is>
      </c>
      <c r="B5" s="177" t="inlineStr">
        <is>
          <t>9F.4.2</t>
        </is>
      </c>
      <c r="C5" s="177" t="inlineStr">
        <is>
          <t>Ferritic carbon/low-alloy</t>
        </is>
      </c>
      <c r="D5" s="177" t="inlineStr">
        <is>
          <t>IMPLEMENTED</t>
        </is>
      </c>
      <c r="E5" s="177" t="inlineStr">
        <is>
          <t>KIC Eq. 9F.44 / KIR Eq. 9F.46 with Tref by DIRECT, EQ_9F29, TABLE_9_2 exact or conservative row; 9F.4.2.1(e) truncation</t>
        </is>
      </c>
    </row>
    <row r="6" ht="15" customHeight="1" s="92">
      <c r="A6" s="169" t="inlineStr">
        <is>
          <t>9F43_MASTER_CURVE</t>
        </is>
      </c>
      <c r="B6" s="169" t="inlineStr">
        <is>
          <t>9F.4.3</t>
        </is>
      </c>
      <c r="C6" s="169" t="inlineStr">
        <is>
          <t>Ferritic carbon/low-alloy</t>
        </is>
      </c>
      <c r="D6" s="169" t="inlineStr">
        <is>
          <t>IMPLEMENTED</t>
        </is>
      </c>
      <c r="E6" s="169" t="inlineStr">
        <is>
          <t>Eq. 9F.84 with T0 by DIRECT / Option A / Option D; optional H2 shift (9F.4.6) and 9F.4.4 upper-shelf limit</t>
        </is>
      </c>
    </row>
    <row r="7" ht="15" customHeight="1" s="92">
      <c r="A7" s="177" t="inlineStr">
        <is>
          <t>9F44_UPPER_SHELF</t>
        </is>
      </c>
      <c r="B7" s="177" t="inlineStr">
        <is>
          <t>9F.4.4</t>
        </is>
      </c>
      <c r="C7" s="177" t="inlineStr">
        <is>
          <t>Carbon/low-alloy</t>
        </is>
      </c>
      <c r="D7" s="177" t="inlineStr">
        <is>
          <t>IMPLEMENTED</t>
        </is>
      </c>
      <c r="E7" s="177" t="inlineStr">
        <is>
          <t>Option A Wallin CVN correlation (9F.86/9F.88/9F.90) or Option B fixed 110/220 MPa√m (100/200 ksi√in)</t>
        </is>
      </c>
    </row>
    <row r="8" ht="15" customHeight="1" s="92">
      <c r="A8" s="169" t="inlineStr">
        <is>
          <t>9F45_DYNAMIC</t>
        </is>
      </c>
      <c r="B8" s="169" t="inlineStr">
        <is>
          <t>9F.4.5.2</t>
        </is>
      </c>
      <c r="C8" s="169" t="inlineStr">
        <is>
          <t>Ferritic carbon/low-alloy</t>
        </is>
      </c>
      <c r="D8" s="169" t="inlineStr">
        <is>
          <t>IMPLEMENTED</t>
        </is>
      </c>
      <c r="E8" s="169" t="inlineStr">
        <is>
          <t>Master Curve with T0D = T0 + dTs (Eqs. 9F.93, 9F.95, 9F.97)</t>
        </is>
      </c>
    </row>
    <row r="9" ht="15" customHeight="1" s="92">
      <c r="A9" s="177" t="inlineStr">
        <is>
          <t>9F45_ARREST</t>
        </is>
      </c>
      <c r="B9" s="177" t="inlineStr">
        <is>
          <t>9F.4.5.3</t>
        </is>
      </c>
      <c r="C9" s="177" t="inlineStr">
        <is>
          <t>Ferritic carbon/low-alloy</t>
        </is>
      </c>
      <c r="D9" s="177" t="inlineStr">
        <is>
          <t>IMPLEMENTED</t>
        </is>
      </c>
      <c r="E9" s="177" t="inlineStr">
        <is>
          <t>Master Curve with T0A = T0 + dTs (Eqs. 9F.98/9F.100, 9F.102); required by 9F.4.6.2(a)(3) for H &gt; 1 ppm in CS/low-Cr</t>
        </is>
      </c>
    </row>
    <row r="10" ht="15" customHeight="1" s="92">
      <c r="A10" s="169" t="inlineStr">
        <is>
          <t>9F47_CRMO_AGING</t>
        </is>
      </c>
      <c r="B10" s="169" t="inlineStr">
        <is>
          <t>9F.4.7</t>
        </is>
      </c>
      <c r="C10" s="169" t="inlineStr">
        <is>
          <t>1.25Cr-0.5Mo / 2.25Cr-1Mo</t>
        </is>
      </c>
      <c r="D10" s="169" t="inlineStr">
        <is>
          <t>IMPLEMENTED</t>
        </is>
      </c>
      <c r="E10" s="169" t="inlineStr">
        <is>
          <t>T0 from chemistry (X-bar or J factor, Eqs. 9F.107-9F.121); lower of aged and non-aged Master Curve Kmat per 9F.4.7.1</t>
        </is>
      </c>
    </row>
    <row r="11" ht="15" customHeight="1" s="92">
      <c r="A11" s="177" t="inlineStr">
        <is>
          <t>9F46_DEGRADATION_OTHER</t>
        </is>
      </c>
      <c r="B11" s="177" t="inlineStr">
        <is>
          <t>9F.4.6.3</t>
        </is>
      </c>
      <c r="C11" s="177" t="inlineStr">
        <is>
          <t>Other embrittlement</t>
        </is>
      </c>
      <c r="D11" s="177" t="inlineStr">
        <is>
          <t>GATED</t>
        </is>
      </c>
      <c r="E11" s="177" t="inlineStr">
        <is>
          <t>Strain-age, 885, sigma embrittlement require test data (9F.4.6.3(b)) - use PROJECT_KMAT / PROJECT_TEST_SET</t>
        </is>
      </c>
    </row>
    <row r="13" ht="15" customHeight="1" s="92">
      <c r="A13" s="115" t="inlineStr">
        <is>
          <t>Source: data/toughness_methods.csv</t>
        </is>
      </c>
    </row>
  </sheetData>
  <autoFilter ref="A1:E11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X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91" min="1" max="7"/>
    <col hidden="1" width="13" customWidth="1" style="91" min="10" max="16"/>
    <col hidden="1" width="13" customWidth="1" style="91" min="18" max="24"/>
  </cols>
  <sheetData>
    <row r="1" ht="21.75" customHeight="1" s="92">
      <c r="A1" s="187">
        <f>IF(UNIT_SYSTEM="SI","API 579 PART 9 TABLE 9.2M - REFERENCE TEMPERATURE (SI)","API 579 PART 9 TABLE 9.2 - REFERENCE TEMPERATURE (FPS)")</f>
        <v/>
      </c>
    </row>
    <row r="3" ht="15" customHeight="1" s="92">
      <c r="A3" s="167" t="inlineStr">
        <is>
          <t>material_class</t>
        </is>
      </c>
      <c r="B3" s="167">
        <f>IF(UNIT_SYSTEM="SI","SMYS (MPa)","SMYS (ksi)")</f>
        <v/>
      </c>
      <c r="C3" s="167">
        <f>IF(UNIT_SYSTEM="SI","Curve A (°C)","Curve A (°F)")</f>
        <v/>
      </c>
      <c r="D3" s="167">
        <f>IF(UNIT_SYSTEM="SI","Curve B (°C)","Curve B (°F)")</f>
        <v/>
      </c>
      <c r="E3" s="167">
        <f>IF(UNIT_SYSTEM="SI","Curve C (°C)","Curve C (°F)")</f>
        <v/>
      </c>
      <c r="F3" s="167">
        <f>IF(UNIT_SYSTEM="SI","Curve D (°C)","Curve D (°F)")</f>
        <v/>
      </c>
      <c r="G3" s="167" t="inlineStr">
        <is>
          <t>transition basis</t>
        </is>
      </c>
    </row>
    <row r="4" ht="15" customHeight="1" s="92">
      <c r="A4" s="169">
        <f>IF(UNIT_SYSTEM="SI",IF(J4="","",J4),IF(R4="","",R4))</f>
        <v/>
      </c>
      <c r="B4" s="188">
        <f>IF(UNIT_SYSTEM="SI",IF(K4="","",K4),IF(S4="","",S4))</f>
        <v/>
      </c>
      <c r="C4" s="188">
        <f>IF(UNIT_SYSTEM="SI",IF(L4="","",L4),IF(T4="","",T4))</f>
        <v/>
      </c>
      <c r="D4" s="188">
        <f>IF(UNIT_SYSTEM="SI",IF(M4="","",M4),IF(U4="","",U4))</f>
        <v/>
      </c>
      <c r="E4" s="188">
        <f>IF(UNIT_SYSTEM="SI",IF(N4="","",N4),IF(V4="","",V4))</f>
        <v/>
      </c>
      <c r="F4" s="188">
        <f>IF(UNIT_SYSTEM="SI",IF(O4="","",O4),IF(W4="","",W4))</f>
        <v/>
      </c>
      <c r="G4" s="188">
        <f>IF(UNIT_SYSTEM="SI",IF(P4="","",P4),IF(X4="","",X4))</f>
        <v/>
      </c>
      <c r="J4" s="91" t="inlineStr">
        <is>
          <t>CARBON_STEEL</t>
        </is>
      </c>
      <c r="K4" s="91" t="n">
        <v>200</v>
      </c>
      <c r="L4" s="91" t="n">
        <v>32.3</v>
      </c>
      <c r="M4" s="91" t="n">
        <v>11.1</v>
      </c>
      <c r="N4" s="91" t="n">
        <v>-10</v>
      </c>
      <c r="O4" s="91" t="n">
        <v>-24.4</v>
      </c>
      <c r="P4" s="91" t="inlineStr">
        <is>
          <t>20 J (15 ft-lb)</t>
        </is>
      </c>
      <c r="R4" s="91" t="inlineStr">
        <is>
          <t>CARBON_STEEL</t>
        </is>
      </c>
      <c r="S4" s="91" t="n">
        <v>30</v>
      </c>
      <c r="T4" s="91" t="n">
        <v>90.3</v>
      </c>
      <c r="U4" s="91" t="n">
        <v>52.3</v>
      </c>
      <c r="V4" s="91" t="n">
        <v>14.3</v>
      </c>
      <c r="W4" s="91" t="n">
        <v>-11.7</v>
      </c>
      <c r="X4" s="91" t="inlineStr">
        <is>
          <t>20 J (15 ft-lb)</t>
        </is>
      </c>
    </row>
    <row r="5" ht="15" customHeight="1" s="92">
      <c r="A5" s="177">
        <f>IF(UNIT_SYSTEM="SI",IF(J5="","",J5),IF(R5="","",R5))</f>
        <v/>
      </c>
      <c r="B5" s="189">
        <f>IF(UNIT_SYSTEM="SI",IF(K5="","",K5),IF(S5="","",S5))</f>
        <v/>
      </c>
      <c r="C5" s="189">
        <f>IF(UNIT_SYSTEM="SI",IF(L5="","",L5),IF(T5="","",T5))</f>
        <v/>
      </c>
      <c r="D5" s="189">
        <f>IF(UNIT_SYSTEM="SI",IF(M5="","",M5),IF(U5="","",U5))</f>
        <v/>
      </c>
      <c r="E5" s="189">
        <f>IF(UNIT_SYSTEM="SI",IF(N5="","",N5),IF(V5="","",V5))</f>
        <v/>
      </c>
      <c r="F5" s="189">
        <f>IF(UNIT_SYSTEM="SI",IF(O5="","",O5),IF(W5="","",W5))</f>
        <v/>
      </c>
      <c r="G5" s="189">
        <f>IF(UNIT_SYSTEM="SI",IF(P5="","",P5),IF(X5="","",X5))</f>
        <v/>
      </c>
      <c r="J5" s="91" t="inlineStr">
        <is>
          <t>CARBON_STEEL</t>
        </is>
      </c>
      <c r="K5" s="91" t="n">
        <v>210</v>
      </c>
      <c r="L5" s="91" t="n">
        <v>32.1</v>
      </c>
      <c r="M5" s="91" t="n">
        <v>10.9</v>
      </c>
      <c r="N5" s="91" t="n">
        <v>-10.1</v>
      </c>
      <c r="O5" s="91" t="n">
        <v>-24.6</v>
      </c>
      <c r="P5" s="91" t="inlineStr">
        <is>
          <t>20 J (15 ft-lb)</t>
        </is>
      </c>
      <c r="R5" s="91" t="inlineStr">
        <is>
          <t>CARBON_STEEL</t>
        </is>
      </c>
      <c r="S5" s="91" t="n">
        <v>32</v>
      </c>
      <c r="T5" s="91" t="n">
        <v>90</v>
      </c>
      <c r="U5" s="91" t="n">
        <v>52</v>
      </c>
      <c r="V5" s="91" t="n">
        <v>14</v>
      </c>
      <c r="W5" s="91" t="n">
        <v>-12</v>
      </c>
      <c r="X5" s="91" t="inlineStr">
        <is>
          <t>20 J (15 ft-lb)</t>
        </is>
      </c>
    </row>
    <row r="6" ht="15" customHeight="1" s="92">
      <c r="A6" s="169">
        <f>IF(UNIT_SYSTEM="SI",IF(J6="","",J6),IF(R6="","",R6))</f>
        <v/>
      </c>
      <c r="B6" s="188">
        <f>IF(UNIT_SYSTEM="SI",IF(K6="","",K6),IF(S6="","",S6))</f>
        <v/>
      </c>
      <c r="C6" s="188">
        <f>IF(UNIT_SYSTEM="SI",IF(L6="","",L6),IF(T6="","",T6))</f>
        <v/>
      </c>
      <c r="D6" s="188">
        <f>IF(UNIT_SYSTEM="SI",IF(M6="","",M6),IF(U6="","",U6))</f>
        <v/>
      </c>
      <c r="E6" s="188">
        <f>IF(UNIT_SYSTEM="SI",IF(N6="","",N6),IF(V6="","",V6))</f>
        <v/>
      </c>
      <c r="F6" s="188">
        <f>IF(UNIT_SYSTEM="SI",IF(O6="","",O6),IF(W6="","",W6))</f>
        <v/>
      </c>
      <c r="G6" s="188">
        <f>IF(UNIT_SYSTEM="SI",IF(P6="","",P6),IF(X6="","",X6))</f>
        <v/>
      </c>
      <c r="J6" s="91" t="inlineStr">
        <is>
          <t>CARBON_STEEL</t>
        </is>
      </c>
      <c r="K6" s="91" t="n">
        <v>220</v>
      </c>
      <c r="L6" s="91" t="n">
        <v>32</v>
      </c>
      <c r="M6" s="91" t="n">
        <v>10.8</v>
      </c>
      <c r="N6" s="91" t="n">
        <v>-10.3</v>
      </c>
      <c r="O6" s="91" t="n">
        <v>-24.7</v>
      </c>
      <c r="P6" s="91" t="inlineStr">
        <is>
          <t>20 J (15 ft-lb)</t>
        </is>
      </c>
      <c r="R6" s="91" t="inlineStr">
        <is>
          <t>CARBON_STEEL</t>
        </is>
      </c>
      <c r="S6" s="91" t="n">
        <v>34</v>
      </c>
      <c r="T6" s="91" t="n">
        <v>89.7</v>
      </c>
      <c r="U6" s="91" t="n">
        <v>51.7</v>
      </c>
      <c r="V6" s="91" t="n">
        <v>13.7</v>
      </c>
      <c r="W6" s="91" t="n">
        <v>-12.3</v>
      </c>
      <c r="X6" s="91" t="inlineStr">
        <is>
          <t>20 J (15 ft-lb)</t>
        </is>
      </c>
    </row>
    <row r="7" ht="15" customHeight="1" s="92">
      <c r="A7" s="177">
        <f>IF(UNIT_SYSTEM="SI",IF(J7="","",J7),IF(R7="","",R7))</f>
        <v/>
      </c>
      <c r="B7" s="189">
        <f>IF(UNIT_SYSTEM="SI",IF(K7="","",K7),IF(S7="","",S7))</f>
        <v/>
      </c>
      <c r="C7" s="189">
        <f>IF(UNIT_SYSTEM="SI",IF(L7="","",L7),IF(T7="","",T7))</f>
        <v/>
      </c>
      <c r="D7" s="189">
        <f>IF(UNIT_SYSTEM="SI",IF(M7="","",M7),IF(U7="","",U7))</f>
        <v/>
      </c>
      <c r="E7" s="189">
        <f>IF(UNIT_SYSTEM="SI",IF(N7="","",N7),IF(V7="","",V7))</f>
        <v/>
      </c>
      <c r="F7" s="189">
        <f>IF(UNIT_SYSTEM="SI",IF(O7="","",O7),IF(W7="","",W7))</f>
        <v/>
      </c>
      <c r="G7" s="189">
        <f>IF(UNIT_SYSTEM="SI",IF(P7="","",P7),IF(X7="","",X7))</f>
        <v/>
      </c>
      <c r="J7" s="91" t="inlineStr">
        <is>
          <t>CARBON_STEEL</t>
        </is>
      </c>
      <c r="K7" s="91" t="n">
        <v>230</v>
      </c>
      <c r="L7" s="91" t="n">
        <v>31.9</v>
      </c>
      <c r="M7" s="91" t="n">
        <v>10.7</v>
      </c>
      <c r="N7" s="91" t="n">
        <v>-10.4</v>
      </c>
      <c r="O7" s="91" t="n">
        <v>-24.8</v>
      </c>
      <c r="P7" s="91" t="inlineStr">
        <is>
          <t>20 J (15 ft-lb)</t>
        </is>
      </c>
      <c r="R7" s="91" t="inlineStr">
        <is>
          <t>CARBON_STEEL</t>
        </is>
      </c>
      <c r="S7" s="91" t="n">
        <v>36</v>
      </c>
      <c r="T7" s="91" t="n">
        <v>89.40000000000001</v>
      </c>
      <c r="U7" s="91" t="n">
        <v>51.4</v>
      </c>
      <c r="V7" s="91" t="n">
        <v>13.4</v>
      </c>
      <c r="W7" s="91" t="n">
        <v>-12.6</v>
      </c>
      <c r="X7" s="91" t="inlineStr">
        <is>
          <t>20 J (15 ft-lb)</t>
        </is>
      </c>
    </row>
    <row r="8" ht="15" customHeight="1" s="92">
      <c r="A8" s="169">
        <f>IF(UNIT_SYSTEM="SI",IF(J8="","",J8),IF(R8="","",R8))</f>
        <v/>
      </c>
      <c r="B8" s="188">
        <f>IF(UNIT_SYSTEM="SI",IF(K8="","",K8),IF(S8="","",S8))</f>
        <v/>
      </c>
      <c r="C8" s="188">
        <f>IF(UNIT_SYSTEM="SI",IF(L8="","",L8),IF(T8="","",T8))</f>
        <v/>
      </c>
      <c r="D8" s="188">
        <f>IF(UNIT_SYSTEM="SI",IF(M8="","",M8),IF(U8="","",U8))</f>
        <v/>
      </c>
      <c r="E8" s="188">
        <f>IF(UNIT_SYSTEM="SI",IF(N8="","",N8),IF(V8="","",V8))</f>
        <v/>
      </c>
      <c r="F8" s="188">
        <f>IF(UNIT_SYSTEM="SI",IF(O8="","",O8),IF(W8="","",W8))</f>
        <v/>
      </c>
      <c r="G8" s="188">
        <f>IF(UNIT_SYSTEM="SI",IF(P8="","",P8),IF(X8="","",X8))</f>
        <v/>
      </c>
      <c r="J8" s="91" t="inlineStr">
        <is>
          <t>CARBON_STEEL</t>
        </is>
      </c>
      <c r="K8" s="91" t="n">
        <v>240</v>
      </c>
      <c r="L8" s="91" t="n">
        <v>31.8</v>
      </c>
      <c r="M8" s="91" t="n">
        <v>10.6</v>
      </c>
      <c r="N8" s="91" t="n">
        <v>-10.5</v>
      </c>
      <c r="O8" s="91" t="n">
        <v>-24.9</v>
      </c>
      <c r="P8" s="91" t="inlineStr">
        <is>
          <t>20 J (15 ft-lb)</t>
        </is>
      </c>
      <c r="R8" s="91" t="inlineStr">
        <is>
          <t>CARBON_STEEL</t>
        </is>
      </c>
      <c r="S8" s="91" t="n">
        <v>38</v>
      </c>
      <c r="T8" s="91" t="n">
        <v>89.09999999999999</v>
      </c>
      <c r="U8" s="91" t="n">
        <v>51.1</v>
      </c>
      <c r="V8" s="91" t="n">
        <v>13.1</v>
      </c>
      <c r="W8" s="91" t="n">
        <v>-12.9</v>
      </c>
      <c r="X8" s="91" t="inlineStr">
        <is>
          <t>20 J (15 ft-lb)</t>
        </is>
      </c>
    </row>
    <row r="9" ht="15" customHeight="1" s="92">
      <c r="A9" s="177">
        <f>IF(UNIT_SYSTEM="SI",IF(J9="","",J9),IF(R9="","",R9))</f>
        <v/>
      </c>
      <c r="B9" s="189">
        <f>IF(UNIT_SYSTEM="SI",IF(K9="","",K9),IF(S9="","",S9))</f>
        <v/>
      </c>
      <c r="C9" s="189">
        <f>IF(UNIT_SYSTEM="SI",IF(L9="","",L9),IF(T9="","",T9))</f>
        <v/>
      </c>
      <c r="D9" s="189">
        <f>IF(UNIT_SYSTEM="SI",IF(M9="","",M9),IF(U9="","",U9))</f>
        <v/>
      </c>
      <c r="E9" s="189">
        <f>IF(UNIT_SYSTEM="SI",IF(N9="","",N9),IF(V9="","",V9))</f>
        <v/>
      </c>
      <c r="F9" s="189">
        <f>IF(UNIT_SYSTEM="SI",IF(O9="","",O9),IF(W9="","",W9))</f>
        <v/>
      </c>
      <c r="G9" s="189">
        <f>IF(UNIT_SYSTEM="SI",IF(P9="","",P9),IF(X9="","",X9))</f>
        <v/>
      </c>
      <c r="J9" s="91" t="inlineStr">
        <is>
          <t>CARBON_STEEL</t>
        </is>
      </c>
      <c r="K9" s="91" t="n">
        <v>260</v>
      </c>
      <c r="L9" s="91" t="n">
        <v>31.5</v>
      </c>
      <c r="M9" s="91" t="n">
        <v>10.3</v>
      </c>
      <c r="N9" s="91" t="n">
        <v>-10.8</v>
      </c>
      <c r="O9" s="91" t="n">
        <v>-25.2</v>
      </c>
      <c r="P9" s="91" t="inlineStr">
        <is>
          <t>20 J (15 ft-lb)</t>
        </is>
      </c>
      <c r="R9" s="91" t="inlineStr">
        <is>
          <t>CARBON_STEEL</t>
        </is>
      </c>
      <c r="S9" s="91" t="n">
        <v>40</v>
      </c>
      <c r="T9" s="91" t="n">
        <v>88.7</v>
      </c>
      <c r="U9" s="91" t="n">
        <v>50.7</v>
      </c>
      <c r="V9" s="91" t="n">
        <v>12.7</v>
      </c>
      <c r="W9" s="91" t="n">
        <v>-13.3</v>
      </c>
      <c r="X9" s="91" t="inlineStr">
        <is>
          <t>20 J (15 ft-lb)</t>
        </is>
      </c>
    </row>
    <row r="10" ht="15" customHeight="1" s="92">
      <c r="A10" s="169">
        <f>IF(UNIT_SYSTEM="SI",IF(J10="","",J10),IF(R10="","",R10))</f>
        <v/>
      </c>
      <c r="B10" s="188">
        <f>IF(UNIT_SYSTEM="SI",IF(K10="","",K10),IF(S10="","",S10))</f>
        <v/>
      </c>
      <c r="C10" s="188">
        <f>IF(UNIT_SYSTEM="SI",IF(L10="","",L10),IF(T10="","",T10))</f>
        <v/>
      </c>
      <c r="D10" s="188">
        <f>IF(UNIT_SYSTEM="SI",IF(M10="","",M10),IF(U10="","",U10))</f>
        <v/>
      </c>
      <c r="E10" s="188">
        <f>IF(UNIT_SYSTEM="SI",IF(N10="","",N10),IF(V10="","",V10))</f>
        <v/>
      </c>
      <c r="F10" s="188">
        <f>IF(UNIT_SYSTEM="SI",IF(O10="","",O10),IF(W10="","",W10))</f>
        <v/>
      </c>
      <c r="G10" s="188">
        <f>IF(UNIT_SYSTEM="SI",IF(P10="","",P10),IF(X10="","",X10))</f>
        <v/>
      </c>
      <c r="J10" s="91" t="inlineStr">
        <is>
          <t>CARBON_STEEL</t>
        </is>
      </c>
      <c r="K10" s="91" t="n">
        <v>280</v>
      </c>
      <c r="L10" s="91" t="n">
        <v>31.3</v>
      </c>
      <c r="M10" s="91" t="n">
        <v>10.1</v>
      </c>
      <c r="N10" s="91" t="n">
        <v>-11</v>
      </c>
      <c r="O10" s="91" t="n">
        <v>-25.4</v>
      </c>
      <c r="P10" s="91" t="inlineStr">
        <is>
          <t>20 J (15 ft-lb)</t>
        </is>
      </c>
      <c r="R10" s="91" t="inlineStr">
        <is>
          <t>CARBON_STEEL</t>
        </is>
      </c>
      <c r="S10" s="91" t="n">
        <v>42</v>
      </c>
      <c r="T10" s="91" t="n">
        <v>88.40000000000001</v>
      </c>
      <c r="U10" s="91" t="n">
        <v>50.4</v>
      </c>
      <c r="V10" s="91" t="n">
        <v>12.4</v>
      </c>
      <c r="W10" s="91" t="n">
        <v>-13.6</v>
      </c>
      <c r="X10" s="91" t="inlineStr">
        <is>
          <t>20 J (15 ft-lb)</t>
        </is>
      </c>
    </row>
    <row r="11" ht="15" customHeight="1" s="92">
      <c r="A11" s="177">
        <f>IF(UNIT_SYSTEM="SI",IF(J11="","",J11),IF(R11="","",R11))</f>
        <v/>
      </c>
      <c r="B11" s="189">
        <f>IF(UNIT_SYSTEM="SI",IF(K11="","",K11),IF(S11="","",S11))</f>
        <v/>
      </c>
      <c r="C11" s="189">
        <f>IF(UNIT_SYSTEM="SI",IF(L11="","",L11),IF(T11="","",T11))</f>
        <v/>
      </c>
      <c r="D11" s="189">
        <f>IF(UNIT_SYSTEM="SI",IF(M11="","",M11),IF(U11="","",U11))</f>
        <v/>
      </c>
      <c r="E11" s="189">
        <f>IF(UNIT_SYSTEM="SI",IF(N11="","",N11),IF(V11="","",V11))</f>
        <v/>
      </c>
      <c r="F11" s="189">
        <f>IF(UNIT_SYSTEM="SI",IF(O11="","",O11),IF(W11="","",W11))</f>
        <v/>
      </c>
      <c r="G11" s="189">
        <f>IF(UNIT_SYSTEM="SI",IF(P11="","",P11),IF(X11="","",X11))</f>
        <v/>
      </c>
      <c r="J11" s="91" t="inlineStr">
        <is>
          <t>CARBON_STEEL</t>
        </is>
      </c>
      <c r="K11" s="91" t="n">
        <v>300</v>
      </c>
      <c r="L11" s="91" t="n">
        <v>31</v>
      </c>
      <c r="M11" s="91" t="n">
        <v>9.800000000000001</v>
      </c>
      <c r="N11" s="91" t="n">
        <v>-11.3</v>
      </c>
      <c r="O11" s="91" t="n">
        <v>-25.7</v>
      </c>
      <c r="P11" s="91" t="inlineStr">
        <is>
          <t>20 J (15 ft-lb)</t>
        </is>
      </c>
      <c r="R11" s="91" t="inlineStr">
        <is>
          <t>CARBON_STEEL</t>
        </is>
      </c>
      <c r="S11" s="91" t="n">
        <v>44</v>
      </c>
      <c r="T11" s="91" t="n">
        <v>88.09999999999999</v>
      </c>
      <c r="U11" s="91" t="n">
        <v>50.1</v>
      </c>
      <c r="V11" s="91" t="n">
        <v>12.1</v>
      </c>
      <c r="W11" s="91" t="n">
        <v>-13.9</v>
      </c>
      <c r="X11" s="91" t="inlineStr">
        <is>
          <t>20 J (15 ft-lb)</t>
        </is>
      </c>
    </row>
    <row r="12" ht="15" customHeight="1" s="92">
      <c r="A12" s="169">
        <f>IF(UNIT_SYSTEM="SI",IF(J12="","",J12),IF(R12="","",R12))</f>
        <v/>
      </c>
      <c r="B12" s="188">
        <f>IF(UNIT_SYSTEM="SI",IF(K12="","",K12),IF(S12="","",S12))</f>
        <v/>
      </c>
      <c r="C12" s="188">
        <f>IF(UNIT_SYSTEM="SI",IF(L12="","",L12),IF(T12="","",T12))</f>
        <v/>
      </c>
      <c r="D12" s="188">
        <f>IF(UNIT_SYSTEM="SI",IF(M12="","",M12),IF(U12="","",U12))</f>
        <v/>
      </c>
      <c r="E12" s="188">
        <f>IF(UNIT_SYSTEM="SI",IF(N12="","",N12),IF(V12="","",V12))</f>
        <v/>
      </c>
      <c r="F12" s="188">
        <f>IF(UNIT_SYSTEM="SI",IF(O12="","",O12),IF(W12="","",W12))</f>
        <v/>
      </c>
      <c r="G12" s="188">
        <f>IF(UNIT_SYSTEM="SI",IF(P12="","",P12),IF(X12="","",X12))</f>
        <v/>
      </c>
      <c r="J12" s="91" t="inlineStr">
        <is>
          <t>CARBON_STEEL</t>
        </is>
      </c>
      <c r="K12" s="91" t="n">
        <v>320</v>
      </c>
      <c r="L12" s="91" t="n">
        <v>30.7</v>
      </c>
      <c r="M12" s="91" t="n">
        <v>9.5</v>
      </c>
      <c r="N12" s="91" t="n">
        <v>-11.5</v>
      </c>
      <c r="O12" s="91" t="n">
        <v>-26</v>
      </c>
      <c r="P12" s="91" t="inlineStr">
        <is>
          <t>20 J (15 ft-lb)</t>
        </is>
      </c>
      <c r="R12" s="91" t="inlineStr">
        <is>
          <t>CARBON_STEEL</t>
        </is>
      </c>
      <c r="S12" s="91" t="n">
        <v>46</v>
      </c>
      <c r="T12" s="91" t="n">
        <v>87.8</v>
      </c>
      <c r="U12" s="91" t="n">
        <v>49.8</v>
      </c>
      <c r="V12" s="91" t="n">
        <v>11.8</v>
      </c>
      <c r="W12" s="91" t="n">
        <v>-14.2</v>
      </c>
      <c r="X12" s="91" t="inlineStr">
        <is>
          <t>20 J (15 ft-lb)</t>
        </is>
      </c>
    </row>
    <row r="13" ht="15" customHeight="1" s="92">
      <c r="A13" s="177">
        <f>IF(UNIT_SYSTEM="SI",IF(J13="","",J13),IF(R13="","",R13))</f>
        <v/>
      </c>
      <c r="B13" s="189">
        <f>IF(UNIT_SYSTEM="SI",IF(K13="","",K13),IF(S13="","",S13))</f>
        <v/>
      </c>
      <c r="C13" s="189">
        <f>IF(UNIT_SYSTEM="SI",IF(L13="","",L13),IF(T13="","",T13))</f>
        <v/>
      </c>
      <c r="D13" s="189">
        <f>IF(UNIT_SYSTEM="SI",IF(M13="","",M13),IF(U13="","",U13))</f>
        <v/>
      </c>
      <c r="E13" s="189">
        <f>IF(UNIT_SYSTEM="SI",IF(N13="","",N13),IF(V13="","",V13))</f>
        <v/>
      </c>
      <c r="F13" s="189">
        <f>IF(UNIT_SYSTEM="SI",IF(O13="","",O13),IF(W13="","",W13))</f>
        <v/>
      </c>
      <c r="G13" s="189">
        <f>IF(UNIT_SYSTEM="SI",IF(P13="","",P13),IF(X13="","",X13))</f>
        <v/>
      </c>
      <c r="J13" s="91" t="inlineStr">
        <is>
          <t>CARBON_STEEL</t>
        </is>
      </c>
      <c r="K13" s="91" t="n">
        <v>340</v>
      </c>
      <c r="L13" s="91" t="n">
        <v>30.5</v>
      </c>
      <c r="M13" s="91" t="n">
        <v>9.300000000000001</v>
      </c>
      <c r="N13" s="91" t="n">
        <v>-11.8</v>
      </c>
      <c r="O13" s="91" t="n">
        <v>-26.2</v>
      </c>
      <c r="P13" s="91" t="inlineStr">
        <is>
          <t>20 J (15 ft-lb)</t>
        </is>
      </c>
      <c r="R13" s="91" t="inlineStr">
        <is>
          <t>CARBON_STEEL</t>
        </is>
      </c>
      <c r="S13" s="91" t="n">
        <v>48</v>
      </c>
      <c r="T13" s="91" t="n">
        <v>87.5</v>
      </c>
      <c r="U13" s="91" t="n">
        <v>49.5</v>
      </c>
      <c r="V13" s="91" t="n">
        <v>11.5</v>
      </c>
      <c r="W13" s="91" t="n">
        <v>-14.5</v>
      </c>
      <c r="X13" s="91" t="inlineStr">
        <is>
          <t>20 J (15 ft-lb)</t>
        </is>
      </c>
    </row>
    <row r="14" ht="15" customHeight="1" s="92">
      <c r="A14" s="169">
        <f>IF(UNIT_SYSTEM="SI",IF(J14="","",J14),IF(R14="","",R14))</f>
        <v/>
      </c>
      <c r="B14" s="188">
        <f>IF(UNIT_SYSTEM="SI",IF(K14="","",K14),IF(S14="","",S14))</f>
        <v/>
      </c>
      <c r="C14" s="188">
        <f>IF(UNIT_SYSTEM="SI",IF(L14="","",L14),IF(T14="","",T14))</f>
        <v/>
      </c>
      <c r="D14" s="188">
        <f>IF(UNIT_SYSTEM="SI",IF(M14="","",M14),IF(U14="","",U14))</f>
        <v/>
      </c>
      <c r="E14" s="188">
        <f>IF(UNIT_SYSTEM="SI",IF(N14="","",N14),IF(V14="","",V14))</f>
        <v/>
      </c>
      <c r="F14" s="188">
        <f>IF(UNIT_SYSTEM="SI",IF(O14="","",O14),IF(W14="","",W14))</f>
        <v/>
      </c>
      <c r="G14" s="188">
        <f>IF(UNIT_SYSTEM="SI",IF(P14="","",P14),IF(X14="","",X14))</f>
        <v/>
      </c>
      <c r="J14" s="91" t="inlineStr">
        <is>
          <t>CARBON_STEEL</t>
        </is>
      </c>
      <c r="K14" s="91" t="n">
        <v>360</v>
      </c>
      <c r="L14" s="91" t="n">
        <v>30.2</v>
      </c>
      <c r="M14" s="91" t="n">
        <v>9</v>
      </c>
      <c r="N14" s="91" t="n">
        <v>-12.1</v>
      </c>
      <c r="O14" s="91" t="n">
        <v>-26.5</v>
      </c>
      <c r="P14" s="91" t="inlineStr">
        <is>
          <t>20 J (15 ft-lb)</t>
        </is>
      </c>
      <c r="R14" s="91" t="inlineStr">
        <is>
          <t>CARBON_STEEL</t>
        </is>
      </c>
      <c r="S14" s="91" t="n">
        <v>50</v>
      </c>
      <c r="T14" s="91" t="n">
        <v>87.09999999999999</v>
      </c>
      <c r="U14" s="91" t="n">
        <v>49.1</v>
      </c>
      <c r="V14" s="91" t="n">
        <v>11.1</v>
      </c>
      <c r="W14" s="91" t="n">
        <v>-14.9</v>
      </c>
      <c r="X14" s="91" t="inlineStr">
        <is>
          <t>20 J (15 ft-lb)</t>
        </is>
      </c>
    </row>
    <row r="15" ht="15" customHeight="1" s="92">
      <c r="A15" s="177">
        <f>IF(UNIT_SYSTEM="SI",IF(J15="","",J15),IF(R15="","",R15))</f>
        <v/>
      </c>
      <c r="B15" s="189">
        <f>IF(UNIT_SYSTEM="SI",IF(K15="","",K15),IF(S15="","",S15))</f>
        <v/>
      </c>
      <c r="C15" s="189">
        <f>IF(UNIT_SYSTEM="SI",IF(L15="","",L15),IF(T15="","",T15))</f>
        <v/>
      </c>
      <c r="D15" s="189">
        <f>IF(UNIT_SYSTEM="SI",IF(M15="","",M15),IF(U15="","",U15))</f>
        <v/>
      </c>
      <c r="E15" s="189">
        <f>IF(UNIT_SYSTEM="SI",IF(N15="","",N15),IF(V15="","",V15))</f>
        <v/>
      </c>
      <c r="F15" s="189">
        <f>IF(UNIT_SYSTEM="SI",IF(O15="","",O15),IF(W15="","",W15))</f>
        <v/>
      </c>
      <c r="G15" s="189">
        <f>IF(UNIT_SYSTEM="SI",IF(P15="","",P15),IF(X15="","",X15))</f>
        <v/>
      </c>
      <c r="J15" s="91" t="inlineStr">
        <is>
          <t>LOW_ALLOY_STEEL</t>
        </is>
      </c>
      <c r="K15" s="91" t="n">
        <v>200</v>
      </c>
      <c r="L15" s="91" t="n">
        <v>36</v>
      </c>
      <c r="M15" s="91" t="n">
        <v>14.8</v>
      </c>
      <c r="N15" s="91" t="n">
        <v>-6.3</v>
      </c>
      <c r="O15" s="91" t="n">
        <v>-20.7</v>
      </c>
      <c r="P15" s="91" t="inlineStr">
        <is>
          <t>27 J (20 ft-lb)</t>
        </is>
      </c>
      <c r="R15" s="91" t="inlineStr">
        <is>
          <t>LOW_ALLOY_STEEL</t>
        </is>
      </c>
      <c r="S15" s="91" t="n">
        <v>30</v>
      </c>
      <c r="T15" s="91" t="n">
        <v>96.8</v>
      </c>
      <c r="U15" s="91" t="n">
        <v>58.8</v>
      </c>
      <c r="V15" s="91" t="n">
        <v>20.8</v>
      </c>
      <c r="W15" s="91" t="n">
        <v>-5.2</v>
      </c>
      <c r="X15" s="91" t="inlineStr">
        <is>
          <t>27 J (20 ft-lb)</t>
        </is>
      </c>
    </row>
    <row r="16" ht="15" customHeight="1" s="92">
      <c r="A16" s="169">
        <f>IF(UNIT_SYSTEM="SI",IF(J16="","",J16),IF(R16="","",R16))</f>
        <v/>
      </c>
      <c r="B16" s="188">
        <f>IF(UNIT_SYSTEM="SI",IF(K16="","",K16),IF(S16="","",S16))</f>
        <v/>
      </c>
      <c r="C16" s="188">
        <f>IF(UNIT_SYSTEM="SI",IF(L16="","",L16),IF(T16="","",T16))</f>
        <v/>
      </c>
      <c r="D16" s="188">
        <f>IF(UNIT_SYSTEM="SI",IF(M16="","",M16),IF(U16="","",U16))</f>
        <v/>
      </c>
      <c r="E16" s="188">
        <f>IF(UNIT_SYSTEM="SI",IF(N16="","",N16),IF(V16="","",V16))</f>
        <v/>
      </c>
      <c r="F16" s="188">
        <f>IF(UNIT_SYSTEM="SI",IF(O16="","",O16),IF(W16="","",W16))</f>
        <v/>
      </c>
      <c r="G16" s="188">
        <f>IF(UNIT_SYSTEM="SI",IF(P16="","",P16),IF(X16="","",X16))</f>
        <v/>
      </c>
      <c r="J16" s="91" t="inlineStr">
        <is>
          <t>LOW_ALLOY_STEEL</t>
        </is>
      </c>
      <c r="K16" s="91" t="n">
        <v>210</v>
      </c>
      <c r="L16" s="91" t="n">
        <v>35.9</v>
      </c>
      <c r="M16" s="91" t="n">
        <v>14.7</v>
      </c>
      <c r="N16" s="91" t="n">
        <v>-6.3</v>
      </c>
      <c r="O16" s="91" t="n">
        <v>-20.8</v>
      </c>
      <c r="P16" s="91" t="inlineStr">
        <is>
          <t>27 J (20 ft-lb)</t>
        </is>
      </c>
      <c r="R16" s="91" t="inlineStr">
        <is>
          <t>LOW_ALLOY_STEEL</t>
        </is>
      </c>
      <c r="S16" s="91" t="n">
        <v>32</v>
      </c>
      <c r="T16" s="91" t="n">
        <v>96.59999999999999</v>
      </c>
      <c r="U16" s="91" t="n">
        <v>58.6</v>
      </c>
      <c r="V16" s="91" t="n">
        <v>20.6</v>
      </c>
      <c r="W16" s="91" t="n">
        <v>-5.4</v>
      </c>
      <c r="X16" s="91" t="inlineStr">
        <is>
          <t>27 J (20 ft-lb)</t>
        </is>
      </c>
    </row>
    <row r="17" ht="15" customHeight="1" s="92">
      <c r="A17" s="177">
        <f>IF(UNIT_SYSTEM="SI",IF(J17="","",J17),IF(R17="","",R17))</f>
        <v/>
      </c>
      <c r="B17" s="189">
        <f>IF(UNIT_SYSTEM="SI",IF(K17="","",K17),IF(S17="","",S17))</f>
        <v/>
      </c>
      <c r="C17" s="189">
        <f>IF(UNIT_SYSTEM="SI",IF(L17="","",L17),IF(T17="","",T17))</f>
        <v/>
      </c>
      <c r="D17" s="189">
        <f>IF(UNIT_SYSTEM="SI",IF(M17="","",M17),IF(U17="","",U17))</f>
        <v/>
      </c>
      <c r="E17" s="189">
        <f>IF(UNIT_SYSTEM="SI",IF(N17="","",N17),IF(V17="","",V17))</f>
        <v/>
      </c>
      <c r="F17" s="189">
        <f>IF(UNIT_SYSTEM="SI",IF(O17="","",O17),IF(W17="","",W17))</f>
        <v/>
      </c>
      <c r="G17" s="189">
        <f>IF(UNIT_SYSTEM="SI",IF(P17="","",P17),IF(X17="","",X17))</f>
        <v/>
      </c>
      <c r="J17" s="91" t="inlineStr">
        <is>
          <t>LOW_ALLOY_STEEL</t>
        </is>
      </c>
      <c r="K17" s="91" t="n">
        <v>220</v>
      </c>
      <c r="L17" s="91" t="n">
        <v>35.8</v>
      </c>
      <c r="M17" s="91" t="n">
        <v>14.6</v>
      </c>
      <c r="N17" s="91" t="n">
        <v>-6.4</v>
      </c>
      <c r="O17" s="91" t="n">
        <v>-20.9</v>
      </c>
      <c r="P17" s="91" t="inlineStr">
        <is>
          <t>27 J (20 ft-lb)</t>
        </is>
      </c>
      <c r="R17" s="91" t="inlineStr">
        <is>
          <t>LOW_ALLOY_STEEL</t>
        </is>
      </c>
      <c r="S17" s="91" t="n">
        <v>34</v>
      </c>
      <c r="T17" s="91" t="n">
        <v>96.40000000000001</v>
      </c>
      <c r="U17" s="91" t="n">
        <v>58.4</v>
      </c>
      <c r="V17" s="91" t="n">
        <v>20.4</v>
      </c>
      <c r="W17" s="91" t="n">
        <v>-5.6</v>
      </c>
      <c r="X17" s="91" t="inlineStr">
        <is>
          <t>27 J (20 ft-lb)</t>
        </is>
      </c>
    </row>
    <row r="18" ht="15" customHeight="1" s="92">
      <c r="A18" s="169">
        <f>IF(UNIT_SYSTEM="SI",IF(J18="","",J18),IF(R18="","",R18))</f>
        <v/>
      </c>
      <c r="B18" s="188">
        <f>IF(UNIT_SYSTEM="SI",IF(K18="","",K18),IF(S18="","",S18))</f>
        <v/>
      </c>
      <c r="C18" s="188">
        <f>IF(UNIT_SYSTEM="SI",IF(L18="","",L18),IF(T18="","",T18))</f>
        <v/>
      </c>
      <c r="D18" s="188">
        <f>IF(UNIT_SYSTEM="SI",IF(M18="","",M18),IF(U18="","",U18))</f>
        <v/>
      </c>
      <c r="E18" s="188">
        <f>IF(UNIT_SYSTEM="SI",IF(N18="","",N18),IF(V18="","",V18))</f>
        <v/>
      </c>
      <c r="F18" s="188">
        <f>IF(UNIT_SYSTEM="SI",IF(O18="","",O18),IF(W18="","",W18))</f>
        <v/>
      </c>
      <c r="G18" s="188">
        <f>IF(UNIT_SYSTEM="SI",IF(P18="","",P18),IF(X18="","",X18))</f>
        <v/>
      </c>
      <c r="J18" s="91" t="inlineStr">
        <is>
          <t>LOW_ALLOY_STEEL</t>
        </is>
      </c>
      <c r="K18" s="91" t="n">
        <v>230</v>
      </c>
      <c r="L18" s="91" t="n">
        <v>35.7</v>
      </c>
      <c r="M18" s="91" t="n">
        <v>14.5</v>
      </c>
      <c r="N18" s="91" t="n">
        <v>-6.5</v>
      </c>
      <c r="O18" s="91" t="n">
        <v>-21</v>
      </c>
      <c r="P18" s="91" t="inlineStr">
        <is>
          <t>27 J (20 ft-lb)</t>
        </is>
      </c>
      <c r="R18" s="91" t="inlineStr">
        <is>
          <t>LOW_ALLOY_STEEL</t>
        </is>
      </c>
      <c r="S18" s="91" t="n">
        <v>36</v>
      </c>
      <c r="T18" s="91" t="n">
        <v>96.09999999999999</v>
      </c>
      <c r="U18" s="91" t="n">
        <v>58.1</v>
      </c>
      <c r="V18" s="91" t="n">
        <v>20.1</v>
      </c>
      <c r="W18" s="91" t="n">
        <v>-5.9</v>
      </c>
      <c r="X18" s="91" t="inlineStr">
        <is>
          <t>27 J (20 ft-lb)</t>
        </is>
      </c>
    </row>
    <row r="19" ht="15" customHeight="1" s="92">
      <c r="A19" s="177">
        <f>IF(UNIT_SYSTEM="SI",IF(J19="","",J19),IF(R19="","",R19))</f>
        <v/>
      </c>
      <c r="B19" s="189">
        <f>IF(UNIT_SYSTEM="SI",IF(K19="","",K19),IF(S19="","",S19))</f>
        <v/>
      </c>
      <c r="C19" s="189">
        <f>IF(UNIT_SYSTEM="SI",IF(L19="","",L19),IF(T19="","",T19))</f>
        <v/>
      </c>
      <c r="D19" s="189">
        <f>IF(UNIT_SYSTEM="SI",IF(M19="","",M19),IF(U19="","",U19))</f>
        <v/>
      </c>
      <c r="E19" s="189">
        <f>IF(UNIT_SYSTEM="SI",IF(N19="","",N19),IF(V19="","",V19))</f>
        <v/>
      </c>
      <c r="F19" s="189">
        <f>IF(UNIT_SYSTEM="SI",IF(O19="","",O19),IF(W19="","",W19))</f>
        <v/>
      </c>
      <c r="G19" s="189">
        <f>IF(UNIT_SYSTEM="SI",IF(P19="","",P19),IF(X19="","",X19))</f>
        <v/>
      </c>
      <c r="J19" s="91" t="inlineStr">
        <is>
          <t>LOW_ALLOY_STEEL</t>
        </is>
      </c>
      <c r="K19" s="91" t="n">
        <v>240</v>
      </c>
      <c r="L19" s="91" t="n">
        <v>35.7</v>
      </c>
      <c r="M19" s="91" t="n">
        <v>14.5</v>
      </c>
      <c r="N19" s="91" t="n">
        <v>-6.6</v>
      </c>
      <c r="O19" s="91" t="n">
        <v>-21</v>
      </c>
      <c r="P19" s="91" t="inlineStr">
        <is>
          <t>27 J (20 ft-lb)</t>
        </is>
      </c>
      <c r="R19" s="91" t="inlineStr">
        <is>
          <t>LOW_ALLOY_STEEL</t>
        </is>
      </c>
      <c r="S19" s="91" t="n">
        <v>38</v>
      </c>
      <c r="T19" s="91" t="n">
        <v>95.90000000000001</v>
      </c>
      <c r="U19" s="91" t="n">
        <v>57.9</v>
      </c>
      <c r="V19" s="91" t="n">
        <v>19.9</v>
      </c>
      <c r="W19" s="91" t="n">
        <v>-6.1</v>
      </c>
      <c r="X19" s="91" t="inlineStr">
        <is>
          <t>27 J (20 ft-lb)</t>
        </is>
      </c>
    </row>
    <row r="20" ht="15" customHeight="1" s="92">
      <c r="A20" s="169">
        <f>IF(UNIT_SYSTEM="SI",IF(J20="","",J20),IF(R20="","",R20))</f>
        <v/>
      </c>
      <c r="B20" s="188">
        <f>IF(UNIT_SYSTEM="SI",IF(K20="","",K20),IF(S20="","",S20))</f>
        <v/>
      </c>
      <c r="C20" s="188">
        <f>IF(UNIT_SYSTEM="SI",IF(L20="","",L20),IF(T20="","",T20))</f>
        <v/>
      </c>
      <c r="D20" s="188">
        <f>IF(UNIT_SYSTEM="SI",IF(M20="","",M20),IF(U20="","",U20))</f>
        <v/>
      </c>
      <c r="E20" s="188">
        <f>IF(UNIT_SYSTEM="SI",IF(N20="","",N20),IF(V20="","",V20))</f>
        <v/>
      </c>
      <c r="F20" s="188">
        <f>IF(UNIT_SYSTEM="SI",IF(O20="","",O20),IF(W20="","",W20))</f>
        <v/>
      </c>
      <c r="G20" s="188">
        <f>IF(UNIT_SYSTEM="SI",IF(P20="","",P20),IF(X20="","",X20))</f>
        <v/>
      </c>
      <c r="J20" s="91" t="inlineStr">
        <is>
          <t>LOW_ALLOY_STEEL</t>
        </is>
      </c>
      <c r="K20" s="91" t="n">
        <v>250</v>
      </c>
      <c r="L20" s="91" t="n">
        <v>35.6</v>
      </c>
      <c r="M20" s="91" t="n">
        <v>14.4</v>
      </c>
      <c r="N20" s="91" t="n">
        <v>-6.7</v>
      </c>
      <c r="O20" s="91" t="n">
        <v>-21.1</v>
      </c>
      <c r="P20" s="91" t="inlineStr">
        <is>
          <t>27 J (20 ft-lb)</t>
        </is>
      </c>
      <c r="R20" s="91" t="inlineStr">
        <is>
          <t>LOW_ALLOY_STEEL</t>
        </is>
      </c>
      <c r="S20" s="91" t="n">
        <v>40</v>
      </c>
      <c r="T20" s="91" t="n">
        <v>95.7</v>
      </c>
      <c r="U20" s="91" t="n">
        <v>57.7</v>
      </c>
      <c r="V20" s="91" t="n">
        <v>19.7</v>
      </c>
      <c r="W20" s="91" t="n">
        <v>-6.3</v>
      </c>
      <c r="X20" s="91" t="inlineStr">
        <is>
          <t>27 J (20 ft-lb)</t>
        </is>
      </c>
    </row>
    <row r="21" ht="15" customHeight="1" s="92">
      <c r="A21" s="177">
        <f>IF(UNIT_SYSTEM="SI",IF(J21="","",J21),IF(R21="","",R21))</f>
        <v/>
      </c>
      <c r="B21" s="189">
        <f>IF(UNIT_SYSTEM="SI",IF(K21="","",K21),IF(S21="","",S21))</f>
        <v/>
      </c>
      <c r="C21" s="189">
        <f>IF(UNIT_SYSTEM="SI",IF(L21="","",L21),IF(T21="","",T21))</f>
        <v/>
      </c>
      <c r="D21" s="189">
        <f>IF(UNIT_SYSTEM="SI",IF(M21="","",M21),IF(U21="","",U21))</f>
        <v/>
      </c>
      <c r="E21" s="189">
        <f>IF(UNIT_SYSTEM="SI",IF(N21="","",N21),IF(V21="","",V21))</f>
        <v/>
      </c>
      <c r="F21" s="189">
        <f>IF(UNIT_SYSTEM="SI",IF(O21="","",O21),IF(W21="","",W21))</f>
        <v/>
      </c>
      <c r="G21" s="189">
        <f>IF(UNIT_SYSTEM="SI",IF(P21="","",P21),IF(X21="","",X21))</f>
        <v/>
      </c>
      <c r="J21" s="91" t="inlineStr">
        <is>
          <t>LOW_ALLOY_STEEL</t>
        </is>
      </c>
      <c r="K21" s="91" t="n">
        <v>260</v>
      </c>
      <c r="L21" s="91" t="n">
        <v>35.5</v>
      </c>
      <c r="M21" s="91" t="n">
        <v>14.3</v>
      </c>
      <c r="N21" s="91" t="n">
        <v>-6.8</v>
      </c>
      <c r="O21" s="91" t="n">
        <v>-21.2</v>
      </c>
      <c r="P21" s="91" t="inlineStr">
        <is>
          <t>27 J (20 ft-lb)</t>
        </is>
      </c>
      <c r="R21" s="91" t="inlineStr">
        <is>
          <t>LOW_ALLOY_STEEL</t>
        </is>
      </c>
      <c r="S21" s="91" t="n">
        <v>42</v>
      </c>
      <c r="T21" s="91" t="n">
        <v>95.5</v>
      </c>
      <c r="U21" s="91" t="n">
        <v>57.5</v>
      </c>
      <c r="V21" s="91" t="n">
        <v>19.5</v>
      </c>
      <c r="W21" s="91" t="n">
        <v>-6.5</v>
      </c>
      <c r="X21" s="91" t="inlineStr">
        <is>
          <t>27 J (20 ft-lb)</t>
        </is>
      </c>
    </row>
    <row r="22" ht="15" customHeight="1" s="92">
      <c r="A22" s="169">
        <f>IF(UNIT_SYSTEM="SI",IF(J22="","",J22),IF(R22="","",R22))</f>
        <v/>
      </c>
      <c r="B22" s="188">
        <f>IF(UNIT_SYSTEM="SI",IF(K22="","",K22),IF(S22="","",S22))</f>
        <v/>
      </c>
      <c r="C22" s="188">
        <f>IF(UNIT_SYSTEM="SI",IF(L22="","",L22),IF(T22="","",T22))</f>
        <v/>
      </c>
      <c r="D22" s="188">
        <f>IF(UNIT_SYSTEM="SI",IF(M22="","",M22),IF(U22="","",U22))</f>
        <v/>
      </c>
      <c r="E22" s="188">
        <f>IF(UNIT_SYSTEM="SI",IF(N22="","",N22),IF(V22="","",V22))</f>
        <v/>
      </c>
      <c r="F22" s="188">
        <f>IF(UNIT_SYSTEM="SI",IF(O22="","",O22),IF(W22="","",W22))</f>
        <v/>
      </c>
      <c r="G22" s="188">
        <f>IF(UNIT_SYSTEM="SI",IF(P22="","",P22),IF(X22="","",X22))</f>
        <v/>
      </c>
      <c r="J22" s="91" t="inlineStr">
        <is>
          <t>LOW_ALLOY_STEEL</t>
        </is>
      </c>
      <c r="K22" s="91" t="n">
        <v>270</v>
      </c>
      <c r="L22" s="91" t="n">
        <v>35.4</v>
      </c>
      <c r="M22" s="91" t="n">
        <v>14.2</v>
      </c>
      <c r="N22" s="91" t="n">
        <v>-6.9</v>
      </c>
      <c r="O22" s="91" t="n">
        <v>-21.3</v>
      </c>
      <c r="P22" s="91" t="inlineStr">
        <is>
          <t>27 J (20 ft-lb)</t>
        </is>
      </c>
      <c r="R22" s="91" t="inlineStr">
        <is>
          <t>LOW_ALLOY_STEEL</t>
        </is>
      </c>
      <c r="S22" s="91" t="n">
        <v>44</v>
      </c>
      <c r="T22" s="91" t="n">
        <v>95.2</v>
      </c>
      <c r="U22" s="91" t="n">
        <v>57.2</v>
      </c>
      <c r="V22" s="91" t="n">
        <v>19.2</v>
      </c>
      <c r="W22" s="91" t="n">
        <v>-6.8</v>
      </c>
      <c r="X22" s="91" t="inlineStr">
        <is>
          <t>27 J (20 ft-lb)</t>
        </is>
      </c>
    </row>
    <row r="23" ht="15" customHeight="1" s="92">
      <c r="A23" s="177">
        <f>IF(UNIT_SYSTEM="SI",IF(J23="","",J23),IF(R23="","",R23))</f>
        <v/>
      </c>
      <c r="B23" s="189">
        <f>IF(UNIT_SYSTEM="SI",IF(K23="","",K23),IF(S23="","",S23))</f>
        <v/>
      </c>
      <c r="C23" s="189">
        <f>IF(UNIT_SYSTEM="SI",IF(L23="","",L23),IF(T23="","",T23))</f>
        <v/>
      </c>
      <c r="D23" s="189">
        <f>IF(UNIT_SYSTEM="SI",IF(M23="","",M23),IF(U23="","",U23))</f>
        <v/>
      </c>
      <c r="E23" s="189">
        <f>IF(UNIT_SYSTEM="SI",IF(N23="","",N23),IF(V23="","",V23))</f>
        <v/>
      </c>
      <c r="F23" s="189">
        <f>IF(UNIT_SYSTEM="SI",IF(O23="","",O23),IF(W23="","",W23))</f>
        <v/>
      </c>
      <c r="G23" s="189">
        <f>IF(UNIT_SYSTEM="SI",IF(P23="","",P23),IF(X23="","",X23))</f>
        <v/>
      </c>
      <c r="J23" s="91" t="inlineStr">
        <is>
          <t>LOW_ALLOY_STEEL</t>
        </is>
      </c>
      <c r="K23" s="91" t="n">
        <v>280</v>
      </c>
      <c r="L23" s="91" t="n">
        <v>35.3</v>
      </c>
      <c r="M23" s="91" t="n">
        <v>14.1</v>
      </c>
      <c r="N23" s="91" t="n">
        <v>-7</v>
      </c>
      <c r="O23" s="91" t="n">
        <v>-21.4</v>
      </c>
      <c r="P23" s="91" t="inlineStr">
        <is>
          <t>27 J (20 ft-lb)</t>
        </is>
      </c>
      <c r="R23" s="91" t="inlineStr">
        <is>
          <t>LOW_ALLOY_STEEL</t>
        </is>
      </c>
      <c r="S23" s="91" t="n">
        <v>46</v>
      </c>
      <c r="T23" s="91" t="n">
        <v>95</v>
      </c>
      <c r="U23" s="91" t="n">
        <v>57</v>
      </c>
      <c r="V23" s="91" t="n">
        <v>19</v>
      </c>
      <c r="W23" s="91" t="n">
        <v>-7</v>
      </c>
      <c r="X23" s="91" t="inlineStr">
        <is>
          <t>27 J (20 ft-lb)</t>
        </is>
      </c>
    </row>
    <row r="24" ht="15" customHeight="1" s="92">
      <c r="A24" s="169">
        <f>IF(UNIT_SYSTEM="SI",IF(J24="","",J24),IF(R24="","",R24))</f>
        <v/>
      </c>
      <c r="B24" s="188">
        <f>IF(UNIT_SYSTEM="SI",IF(K24="","",K24),IF(S24="","",S24))</f>
        <v/>
      </c>
      <c r="C24" s="188">
        <f>IF(UNIT_SYSTEM="SI",IF(L24="","",L24),IF(T24="","",T24))</f>
        <v/>
      </c>
      <c r="D24" s="188">
        <f>IF(UNIT_SYSTEM="SI",IF(M24="","",M24),IF(U24="","",U24))</f>
        <v/>
      </c>
      <c r="E24" s="188">
        <f>IF(UNIT_SYSTEM="SI",IF(N24="","",N24),IF(V24="","",V24))</f>
        <v/>
      </c>
      <c r="F24" s="188">
        <f>IF(UNIT_SYSTEM="SI",IF(O24="","",O24),IF(W24="","",W24))</f>
        <v/>
      </c>
      <c r="G24" s="188">
        <f>IF(UNIT_SYSTEM="SI",IF(P24="","",P24),IF(X24="","",X24))</f>
        <v/>
      </c>
      <c r="J24" s="91" t="inlineStr">
        <is>
          <t>LOW_ALLOY_STEEL</t>
        </is>
      </c>
      <c r="K24" s="91" t="n">
        <v>290</v>
      </c>
      <c r="L24" s="91" t="n">
        <v>35.2</v>
      </c>
      <c r="M24" s="91" t="n">
        <v>14</v>
      </c>
      <c r="N24" s="91" t="n">
        <v>-7.1</v>
      </c>
      <c r="O24" s="91" t="n">
        <v>-21.5</v>
      </c>
      <c r="P24" s="91" t="inlineStr">
        <is>
          <t>27 J (20 ft-lb)</t>
        </is>
      </c>
      <c r="R24" s="91" t="inlineStr">
        <is>
          <t>LOW_ALLOY_STEEL</t>
        </is>
      </c>
      <c r="S24" s="91" t="n">
        <v>48</v>
      </c>
      <c r="T24" s="91" t="n">
        <v>94.8</v>
      </c>
      <c r="U24" s="91" t="n">
        <v>56.8</v>
      </c>
      <c r="V24" s="91" t="n">
        <v>18.8</v>
      </c>
      <c r="W24" s="91" t="n">
        <v>-7.2</v>
      </c>
      <c r="X24" s="91" t="inlineStr">
        <is>
          <t>27 J (20 ft-lb)</t>
        </is>
      </c>
    </row>
    <row r="25" ht="15" customHeight="1" s="92">
      <c r="A25" s="177">
        <f>IF(UNIT_SYSTEM="SI",IF(J25="","",J25),IF(R25="","",R25))</f>
        <v/>
      </c>
      <c r="B25" s="189">
        <f>IF(UNIT_SYSTEM="SI",IF(K25="","",K25),IF(S25="","",S25))</f>
        <v/>
      </c>
      <c r="C25" s="189">
        <f>IF(UNIT_SYSTEM="SI",IF(L25="","",L25),IF(T25="","",T25))</f>
        <v/>
      </c>
      <c r="D25" s="189">
        <f>IF(UNIT_SYSTEM="SI",IF(M25="","",M25),IF(U25="","",U25))</f>
        <v/>
      </c>
      <c r="E25" s="189">
        <f>IF(UNIT_SYSTEM="SI",IF(N25="","",N25),IF(V25="","",V25))</f>
        <v/>
      </c>
      <c r="F25" s="189">
        <f>IF(UNIT_SYSTEM="SI",IF(O25="","",O25),IF(W25="","",W25))</f>
        <v/>
      </c>
      <c r="G25" s="189">
        <f>IF(UNIT_SYSTEM="SI",IF(P25="","",P25),IF(X25="","",X25))</f>
        <v/>
      </c>
      <c r="J25" s="91" t="inlineStr">
        <is>
          <t>LOW_ALLOY_STEEL</t>
        </is>
      </c>
      <c r="K25" s="91" t="n">
        <v>300</v>
      </c>
      <c r="L25" s="91" t="n">
        <v>35.1</v>
      </c>
      <c r="M25" s="91" t="n">
        <v>13.9</v>
      </c>
      <c r="N25" s="91" t="n">
        <v>-7.2</v>
      </c>
      <c r="O25" s="91" t="n">
        <v>-21.6</v>
      </c>
      <c r="P25" s="91" t="inlineStr">
        <is>
          <t>27 J (20 ft-lb)</t>
        </is>
      </c>
      <c r="R25" s="91" t="inlineStr">
        <is>
          <t>LOW_ALLOY_STEEL</t>
        </is>
      </c>
      <c r="S25" s="91" t="n">
        <v>50</v>
      </c>
      <c r="T25" s="91" t="n">
        <v>94.5</v>
      </c>
      <c r="U25" s="91" t="n">
        <v>56.5</v>
      </c>
      <c r="V25" s="91" t="n">
        <v>18.5</v>
      </c>
      <c r="W25" s="91" t="n">
        <v>-7.5</v>
      </c>
      <c r="X25" s="91" t="inlineStr">
        <is>
          <t>27 J (20 ft-lb)</t>
        </is>
      </c>
    </row>
    <row r="26" ht="15" customHeight="1" s="92">
      <c r="A26" s="169">
        <f>IF(UNIT_SYSTEM="SI",IF(J26="","",J26),IF(R26="","",R26))</f>
        <v/>
      </c>
      <c r="B26" s="188">
        <f>IF(UNIT_SYSTEM="SI",IF(K26="","",K26),IF(S26="","",S26))</f>
        <v/>
      </c>
      <c r="C26" s="188">
        <f>IF(UNIT_SYSTEM="SI",IF(L26="","",L26),IF(T26="","",T26))</f>
        <v/>
      </c>
      <c r="D26" s="188">
        <f>IF(UNIT_SYSTEM="SI",IF(M26="","",M26),IF(U26="","",U26))</f>
        <v/>
      </c>
      <c r="E26" s="188">
        <f>IF(UNIT_SYSTEM="SI",IF(N26="","",N26),IF(V26="","",V26))</f>
        <v/>
      </c>
      <c r="F26" s="188">
        <f>IF(UNIT_SYSTEM="SI",IF(O26="","",O26),IF(W26="","",W26))</f>
        <v/>
      </c>
      <c r="G26" s="188">
        <f>IF(UNIT_SYSTEM="SI",IF(P26="","",P26),IF(X26="","",X26))</f>
        <v/>
      </c>
      <c r="J26" s="91" t="inlineStr">
        <is>
          <t>LOW_ALLOY_STEEL</t>
        </is>
      </c>
      <c r="K26" s="91" t="n">
        <v>310</v>
      </c>
      <c r="L26" s="91" t="n">
        <v>35</v>
      </c>
      <c r="M26" s="91" t="n">
        <v>13.8</v>
      </c>
      <c r="N26" s="91" t="n">
        <v>-7.3</v>
      </c>
      <c r="O26" s="91" t="n">
        <v>-21.7</v>
      </c>
      <c r="P26" s="91" t="inlineStr">
        <is>
          <t>27 J (20 ft-lb)</t>
        </is>
      </c>
      <c r="R26" s="91" t="inlineStr">
        <is>
          <t>LOW_ALLOY_STEEL</t>
        </is>
      </c>
      <c r="S26" s="91" t="n">
        <v>52</v>
      </c>
      <c r="T26" s="91" t="n">
        <v>94.3</v>
      </c>
      <c r="U26" s="91" t="n">
        <v>56.3</v>
      </c>
      <c r="V26" s="91" t="n">
        <v>18.3</v>
      </c>
      <c r="W26" s="91" t="n">
        <v>-7.7</v>
      </c>
      <c r="X26" s="91" t="inlineStr">
        <is>
          <t>27 J (20 ft-lb)</t>
        </is>
      </c>
    </row>
    <row r="27" ht="15" customHeight="1" s="92">
      <c r="A27" s="177">
        <f>IF(UNIT_SYSTEM="SI",IF(J27="","",J27),IF(R27="","",R27))</f>
        <v/>
      </c>
      <c r="B27" s="189">
        <f>IF(UNIT_SYSTEM="SI",IF(K27="","",K27),IF(S27="","",S27))</f>
        <v/>
      </c>
      <c r="C27" s="189">
        <f>IF(UNIT_SYSTEM="SI",IF(L27="","",L27),IF(T27="","",T27))</f>
        <v/>
      </c>
      <c r="D27" s="189">
        <f>IF(UNIT_SYSTEM="SI",IF(M27="","",M27),IF(U27="","",U27))</f>
        <v/>
      </c>
      <c r="E27" s="189">
        <f>IF(UNIT_SYSTEM="SI",IF(N27="","",N27),IF(V27="","",V27))</f>
        <v/>
      </c>
      <c r="F27" s="189">
        <f>IF(UNIT_SYSTEM="SI",IF(O27="","",O27),IF(W27="","",W27))</f>
        <v/>
      </c>
      <c r="G27" s="189">
        <f>IF(UNIT_SYSTEM="SI",IF(P27="","",P27),IF(X27="","",X27))</f>
        <v/>
      </c>
      <c r="J27" s="91" t="inlineStr">
        <is>
          <t>LOW_ALLOY_STEEL</t>
        </is>
      </c>
      <c r="K27" s="91" t="n">
        <v>320</v>
      </c>
      <c r="L27" s="91" t="n">
        <v>34.9</v>
      </c>
      <c r="M27" s="91" t="n">
        <v>13.7</v>
      </c>
      <c r="N27" s="91" t="n">
        <v>-7.3</v>
      </c>
      <c r="O27" s="91" t="n">
        <v>-21.8</v>
      </c>
      <c r="P27" s="91" t="inlineStr">
        <is>
          <t>27 J (20 ft-lb)</t>
        </is>
      </c>
      <c r="R27" s="91" t="inlineStr">
        <is>
          <t>LOW_ALLOY_STEEL</t>
        </is>
      </c>
      <c r="S27" s="91" t="n">
        <v>54</v>
      </c>
      <c r="T27" s="91" t="n">
        <v>94</v>
      </c>
      <c r="U27" s="91" t="n">
        <v>56</v>
      </c>
      <c r="V27" s="91" t="n">
        <v>18</v>
      </c>
      <c r="W27" s="91" t="n">
        <v>-8</v>
      </c>
      <c r="X27" s="91" t="inlineStr">
        <is>
          <t>27 J (20 ft-lb)</t>
        </is>
      </c>
    </row>
    <row r="28" ht="15" customHeight="1" s="92">
      <c r="A28" s="169">
        <f>IF(UNIT_SYSTEM="SI",IF(J28="","",J28),IF(R28="","",R28))</f>
        <v/>
      </c>
      <c r="B28" s="188">
        <f>IF(UNIT_SYSTEM="SI",IF(K28="","",K28),IF(S28="","",S28))</f>
        <v/>
      </c>
      <c r="C28" s="188">
        <f>IF(UNIT_SYSTEM="SI",IF(L28="","",L28),IF(T28="","",T28))</f>
        <v/>
      </c>
      <c r="D28" s="188">
        <f>IF(UNIT_SYSTEM="SI",IF(M28="","",M28),IF(U28="","",U28))</f>
        <v/>
      </c>
      <c r="E28" s="188">
        <f>IF(UNIT_SYSTEM="SI",IF(N28="","",N28),IF(V28="","",V28))</f>
        <v/>
      </c>
      <c r="F28" s="188">
        <f>IF(UNIT_SYSTEM="SI",IF(O28="","",O28),IF(W28="","",W28))</f>
        <v/>
      </c>
      <c r="G28" s="188">
        <f>IF(UNIT_SYSTEM="SI",IF(P28="","",P28),IF(X28="","",X28))</f>
        <v/>
      </c>
      <c r="J28" s="91" t="inlineStr">
        <is>
          <t>LOW_ALLOY_STEEL</t>
        </is>
      </c>
      <c r="K28" s="91" t="n">
        <v>330</v>
      </c>
      <c r="L28" s="91" t="n">
        <v>34.8</v>
      </c>
      <c r="M28" s="91" t="n">
        <v>13.6</v>
      </c>
      <c r="N28" s="91" t="n">
        <v>-7.4</v>
      </c>
      <c r="O28" s="91" t="n">
        <v>-21.9</v>
      </c>
      <c r="P28" s="91" t="inlineStr">
        <is>
          <t>27 J (20 ft-lb)</t>
        </is>
      </c>
      <c r="R28" s="91" t="inlineStr">
        <is>
          <t>LOW_ALLOY_STEEL</t>
        </is>
      </c>
      <c r="S28" s="91" t="n">
        <v>56</v>
      </c>
      <c r="T28" s="91" t="n">
        <v>93.8</v>
      </c>
      <c r="U28" s="91" t="n">
        <v>55.8</v>
      </c>
      <c r="V28" s="91" t="n">
        <v>17.8</v>
      </c>
      <c r="W28" s="91" t="n">
        <v>-8.199999999999999</v>
      </c>
      <c r="X28" s="91" t="inlineStr">
        <is>
          <t>27 J (20 ft-lb)</t>
        </is>
      </c>
    </row>
    <row r="29" ht="15" customHeight="1" s="92">
      <c r="A29" s="177">
        <f>IF(UNIT_SYSTEM="SI",IF(J29="","",J29),IF(R29="","",R29))</f>
        <v/>
      </c>
      <c r="B29" s="189">
        <f>IF(UNIT_SYSTEM="SI",IF(K29="","",K29),IF(S29="","",S29))</f>
        <v/>
      </c>
      <c r="C29" s="189">
        <f>IF(UNIT_SYSTEM="SI",IF(L29="","",L29),IF(T29="","",T29))</f>
        <v/>
      </c>
      <c r="D29" s="189">
        <f>IF(UNIT_SYSTEM="SI",IF(M29="","",M29),IF(U29="","",U29))</f>
        <v/>
      </c>
      <c r="E29" s="189">
        <f>IF(UNIT_SYSTEM="SI",IF(N29="","",N29),IF(V29="","",V29))</f>
        <v/>
      </c>
      <c r="F29" s="189">
        <f>IF(UNIT_SYSTEM="SI",IF(O29="","",O29),IF(W29="","",W29))</f>
        <v/>
      </c>
      <c r="G29" s="189">
        <f>IF(UNIT_SYSTEM="SI",IF(P29="","",P29),IF(X29="","",X29))</f>
        <v/>
      </c>
      <c r="J29" s="91" t="inlineStr">
        <is>
          <t>LOW_ALLOY_STEEL</t>
        </is>
      </c>
      <c r="K29" s="91" t="n">
        <v>340</v>
      </c>
      <c r="L29" s="91" t="n">
        <v>34.7</v>
      </c>
      <c r="M29" s="91" t="n">
        <v>13.5</v>
      </c>
      <c r="N29" s="91" t="n">
        <v>-7.5</v>
      </c>
      <c r="O29" s="91" t="n">
        <v>-22</v>
      </c>
      <c r="P29" s="91" t="inlineStr">
        <is>
          <t>27 J (20 ft-lb)</t>
        </is>
      </c>
      <c r="R29" s="91" t="inlineStr">
        <is>
          <t>LOW_ALLOY_STEEL</t>
        </is>
      </c>
      <c r="S29" s="91" t="n">
        <v>58</v>
      </c>
      <c r="T29" s="91" t="n">
        <v>93.59999999999999</v>
      </c>
      <c r="U29" s="91" t="n">
        <v>55.6</v>
      </c>
      <c r="V29" s="91" t="n">
        <v>17.6</v>
      </c>
      <c r="W29" s="91" t="n">
        <v>-8.4</v>
      </c>
      <c r="X29" s="91" t="inlineStr">
        <is>
          <t>27 J (20 ft-lb)</t>
        </is>
      </c>
    </row>
    <row r="30" ht="15" customHeight="1" s="92">
      <c r="A30" s="169">
        <f>IF(UNIT_SYSTEM="SI",IF(J30="","",J30),IF(R30="","",R30))</f>
        <v/>
      </c>
      <c r="B30" s="188">
        <f>IF(UNIT_SYSTEM="SI",IF(K30="","",K30),IF(S30="","",S30))</f>
        <v/>
      </c>
      <c r="C30" s="188">
        <f>IF(UNIT_SYSTEM="SI",IF(L30="","",L30),IF(T30="","",T30))</f>
        <v/>
      </c>
      <c r="D30" s="188">
        <f>IF(UNIT_SYSTEM="SI",IF(M30="","",M30),IF(U30="","",U30))</f>
        <v/>
      </c>
      <c r="E30" s="188">
        <f>IF(UNIT_SYSTEM="SI",IF(N30="","",N30),IF(V30="","",V30))</f>
        <v/>
      </c>
      <c r="F30" s="188">
        <f>IF(UNIT_SYSTEM="SI",IF(O30="","",O30),IF(W30="","",W30))</f>
        <v/>
      </c>
      <c r="G30" s="188">
        <f>IF(UNIT_SYSTEM="SI",IF(P30="","",P30),IF(X30="","",X30))</f>
        <v/>
      </c>
      <c r="J30" s="91" t="inlineStr">
        <is>
          <t>LOW_ALLOY_STEEL</t>
        </is>
      </c>
      <c r="K30" s="91" t="n">
        <v>360</v>
      </c>
      <c r="L30" s="91" t="n">
        <v>34.5</v>
      </c>
      <c r="M30" s="91" t="n">
        <v>13.3</v>
      </c>
      <c r="N30" s="91" t="n">
        <v>-7.7</v>
      </c>
      <c r="O30" s="91" t="n">
        <v>-22.2</v>
      </c>
      <c r="P30" s="91" t="inlineStr">
        <is>
          <t>27 J (20 ft-lb)</t>
        </is>
      </c>
      <c r="R30" s="91" t="inlineStr">
        <is>
          <t>LOW_ALLOY_STEEL</t>
        </is>
      </c>
      <c r="S30" s="91" t="n">
        <v>60</v>
      </c>
      <c r="T30" s="91" t="n">
        <v>93.3</v>
      </c>
      <c r="U30" s="91" t="n">
        <v>55.3</v>
      </c>
      <c r="V30" s="91" t="n">
        <v>17.3</v>
      </c>
      <c r="W30" s="91" t="n">
        <v>-8.699999999999999</v>
      </c>
      <c r="X30" s="91" t="inlineStr">
        <is>
          <t>27 J (20 ft-lb)</t>
        </is>
      </c>
    </row>
    <row r="31" ht="15" customHeight="1" s="92">
      <c r="A31" s="177">
        <f>IF(UNIT_SYSTEM="SI",IF(J31="","",J31),IF(R31="","",R31))</f>
        <v/>
      </c>
      <c r="B31" s="189">
        <f>IF(UNIT_SYSTEM="SI",IF(K31="","",K31),IF(S31="","",S31))</f>
        <v/>
      </c>
      <c r="C31" s="189">
        <f>IF(UNIT_SYSTEM="SI",IF(L31="","",L31),IF(T31="","",T31))</f>
        <v/>
      </c>
      <c r="D31" s="189">
        <f>IF(UNIT_SYSTEM="SI",IF(M31="","",M31),IF(U31="","",U31))</f>
        <v/>
      </c>
      <c r="E31" s="189">
        <f>IF(UNIT_SYSTEM="SI",IF(N31="","",N31),IF(V31="","",V31))</f>
        <v/>
      </c>
      <c r="F31" s="189">
        <f>IF(UNIT_SYSTEM="SI",IF(O31="","",O31),IF(W31="","",W31))</f>
        <v/>
      </c>
      <c r="G31" s="189">
        <f>IF(UNIT_SYSTEM="SI",IF(P31="","",P31),IF(X31="","",X31))</f>
        <v/>
      </c>
      <c r="J31" s="91" t="inlineStr">
        <is>
          <t>LOW_ALLOY_STEEL</t>
        </is>
      </c>
      <c r="K31" s="91" t="n">
        <v>380</v>
      </c>
      <c r="L31" s="91" t="n">
        <v>34.3</v>
      </c>
      <c r="M31" s="91" t="n">
        <v>13.1</v>
      </c>
      <c r="N31" s="91" t="n">
        <v>-7.9</v>
      </c>
      <c r="O31" s="91" t="n">
        <v>-22.4</v>
      </c>
      <c r="P31" s="91" t="inlineStr">
        <is>
          <t>27 J (20 ft-lb)</t>
        </is>
      </c>
      <c r="R31" s="91" t="inlineStr">
        <is>
          <t>LOW_ALLOY_STEEL</t>
        </is>
      </c>
      <c r="S31" s="91" t="n">
        <v>62</v>
      </c>
      <c r="T31" s="91" t="n">
        <v>93.09999999999999</v>
      </c>
      <c r="U31" s="91" t="n">
        <v>55.1</v>
      </c>
      <c r="V31" s="91" t="n">
        <v>17.1</v>
      </c>
      <c r="W31" s="91" t="n">
        <v>-8.9</v>
      </c>
      <c r="X31" s="91" t="inlineStr">
        <is>
          <t>27 J (20 ft-lb)</t>
        </is>
      </c>
    </row>
    <row r="32" ht="15" customHeight="1" s="92">
      <c r="A32" s="169">
        <f>IF(UNIT_SYSTEM="SI",IF(J32="","",J32),IF(R32="","",R32))</f>
        <v/>
      </c>
      <c r="B32" s="188">
        <f>IF(UNIT_SYSTEM="SI",IF(K32="","",K32),IF(S32="","",S32))</f>
        <v/>
      </c>
      <c r="C32" s="188">
        <f>IF(UNIT_SYSTEM="SI",IF(L32="","",L32),IF(T32="","",T32))</f>
        <v/>
      </c>
      <c r="D32" s="188">
        <f>IF(UNIT_SYSTEM="SI",IF(M32="","",M32),IF(U32="","",U32))</f>
        <v/>
      </c>
      <c r="E32" s="188">
        <f>IF(UNIT_SYSTEM="SI",IF(N32="","",N32),IF(V32="","",V32))</f>
        <v/>
      </c>
      <c r="F32" s="188">
        <f>IF(UNIT_SYSTEM="SI",IF(O32="","",O32),IF(W32="","",W32))</f>
        <v/>
      </c>
      <c r="G32" s="188">
        <f>IF(UNIT_SYSTEM="SI",IF(P32="","",P32),IF(X32="","",X32))</f>
        <v/>
      </c>
      <c r="J32" s="91" t="inlineStr">
        <is>
          <t>LOW_ALLOY_STEEL</t>
        </is>
      </c>
      <c r="K32" s="91" t="n">
        <v>400</v>
      </c>
      <c r="L32" s="91" t="n">
        <v>34.1</v>
      </c>
      <c r="M32" s="91" t="n">
        <v>12.9</v>
      </c>
      <c r="N32" s="91" t="n">
        <v>-8.1</v>
      </c>
      <c r="O32" s="91" t="n">
        <v>-22.6</v>
      </c>
      <c r="P32" s="91" t="inlineStr">
        <is>
          <t>27 J (20 ft-lb)</t>
        </is>
      </c>
      <c r="R32" s="91" t="inlineStr">
        <is>
          <t>LOW_ALLOY_STEEL</t>
        </is>
      </c>
      <c r="S32" s="91" t="n">
        <v>64</v>
      </c>
      <c r="T32" s="91" t="n">
        <v>92.8</v>
      </c>
      <c r="U32" s="91" t="n">
        <v>54.8</v>
      </c>
      <c r="V32" s="91" t="n">
        <v>16.8</v>
      </c>
      <c r="W32" s="91" t="n">
        <v>-9.199999999999999</v>
      </c>
      <c r="X32" s="91" t="inlineStr">
        <is>
          <t>27 J (20 ft-lb)</t>
        </is>
      </c>
    </row>
    <row r="33" ht="15" customHeight="1" s="92">
      <c r="A33" s="177">
        <f>IF(UNIT_SYSTEM="SI",IF(J33="","",J33),IF(R33="","",R33))</f>
        <v/>
      </c>
      <c r="B33" s="189">
        <f>IF(UNIT_SYSTEM="SI",IF(K33="","",K33),IF(S33="","",S33))</f>
        <v/>
      </c>
      <c r="C33" s="189">
        <f>IF(UNIT_SYSTEM="SI",IF(L33="","",L33),IF(T33="","",T33))</f>
        <v/>
      </c>
      <c r="D33" s="189">
        <f>IF(UNIT_SYSTEM="SI",IF(M33="","",M33),IF(U33="","",U33))</f>
        <v/>
      </c>
      <c r="E33" s="189">
        <f>IF(UNIT_SYSTEM="SI",IF(N33="","",N33),IF(V33="","",V33))</f>
        <v/>
      </c>
      <c r="F33" s="189">
        <f>IF(UNIT_SYSTEM="SI",IF(O33="","",O33),IF(W33="","",W33))</f>
        <v/>
      </c>
      <c r="G33" s="189">
        <f>IF(UNIT_SYSTEM="SI",IF(P33="","",P33),IF(X33="","",X33))</f>
        <v/>
      </c>
      <c r="J33" s="91" t="inlineStr">
        <is>
          <t>LOW_ALLOY_STEEL</t>
        </is>
      </c>
      <c r="K33" s="91" t="n">
        <v>420</v>
      </c>
      <c r="L33" s="91" t="n">
        <v>33.9</v>
      </c>
      <c r="M33" s="91" t="n">
        <v>12.7</v>
      </c>
      <c r="N33" s="91" t="n">
        <v>-8.300000000000001</v>
      </c>
      <c r="O33" s="91" t="n">
        <v>-22.8</v>
      </c>
      <c r="P33" s="91" t="inlineStr">
        <is>
          <t>27 J (20 ft-lb)</t>
        </is>
      </c>
      <c r="R33" s="91" t="inlineStr">
        <is>
          <t>LOW_ALLOY_STEEL</t>
        </is>
      </c>
      <c r="S33" s="91" t="n">
        <v>66</v>
      </c>
      <c r="T33" s="91" t="n">
        <v>92.5</v>
      </c>
      <c r="U33" s="91" t="n">
        <v>54.5</v>
      </c>
      <c r="V33" s="91" t="n">
        <v>16.5</v>
      </c>
      <c r="W33" s="91" t="n">
        <v>-9.5</v>
      </c>
      <c r="X33" s="91" t="inlineStr">
        <is>
          <t>27 J (20 ft-lb)</t>
        </is>
      </c>
    </row>
    <row r="34" ht="15" customHeight="1" s="92">
      <c r="A34" s="169">
        <f>IF(UNIT_SYSTEM="SI",IF(J34="","",J34),IF(R34="","",R34))</f>
        <v/>
      </c>
      <c r="B34" s="188">
        <f>IF(UNIT_SYSTEM="SI",IF(K34="","",K34),IF(S34="","",S34))</f>
        <v/>
      </c>
      <c r="C34" s="188">
        <f>IF(UNIT_SYSTEM="SI",IF(L34="","",L34),IF(T34="","",T34))</f>
        <v/>
      </c>
      <c r="D34" s="188">
        <f>IF(UNIT_SYSTEM="SI",IF(M34="","",M34),IF(U34="","",U34))</f>
        <v/>
      </c>
      <c r="E34" s="188">
        <f>IF(UNIT_SYSTEM="SI",IF(N34="","",N34),IF(V34="","",V34))</f>
        <v/>
      </c>
      <c r="F34" s="188">
        <f>IF(UNIT_SYSTEM="SI",IF(O34="","",O34),IF(W34="","",W34))</f>
        <v/>
      </c>
      <c r="G34" s="188">
        <f>IF(UNIT_SYSTEM="SI",IF(P34="","",P34),IF(X34="","",X34))</f>
        <v/>
      </c>
      <c r="J34" s="91" t="inlineStr">
        <is>
          <t>LOW_ALLOY_STEEL</t>
        </is>
      </c>
      <c r="K34" s="91" t="n">
        <v>440</v>
      </c>
      <c r="L34" s="91" t="n">
        <v>33.7</v>
      </c>
      <c r="M34" s="91" t="n">
        <v>12.5</v>
      </c>
      <c r="N34" s="91" t="n">
        <v>-8.5</v>
      </c>
      <c r="O34" s="91" t="n">
        <v>-23</v>
      </c>
      <c r="P34" s="91" t="inlineStr">
        <is>
          <t>27 J (20 ft-lb)</t>
        </is>
      </c>
      <c r="R34" s="91" t="inlineStr">
        <is>
          <t>LOW_ALLOY_STEEL</t>
        </is>
      </c>
      <c r="S34" s="91" t="n">
        <v>68</v>
      </c>
      <c r="T34" s="91" t="n">
        <v>92.3</v>
      </c>
      <c r="U34" s="91" t="n">
        <v>54.3</v>
      </c>
      <c r="V34" s="91" t="n">
        <v>16.3</v>
      </c>
      <c r="W34" s="91" t="n">
        <v>-9.699999999999999</v>
      </c>
      <c r="X34" s="91" t="inlineStr">
        <is>
          <t>27 J (20 ft-lb)</t>
        </is>
      </c>
    </row>
    <row r="35" ht="15" customHeight="1" s="92">
      <c r="A35" s="177">
        <f>IF(UNIT_SYSTEM="SI",IF(J35="","",J35),IF(R35="","",R35))</f>
        <v/>
      </c>
      <c r="B35" s="189">
        <f>IF(UNIT_SYSTEM="SI",IF(K35="","",K35),IF(S35="","",S35))</f>
        <v/>
      </c>
      <c r="C35" s="189">
        <f>IF(UNIT_SYSTEM="SI",IF(L35="","",L35),IF(T35="","",T35))</f>
        <v/>
      </c>
      <c r="D35" s="189">
        <f>IF(UNIT_SYSTEM="SI",IF(M35="","",M35),IF(U35="","",U35))</f>
        <v/>
      </c>
      <c r="E35" s="189">
        <f>IF(UNIT_SYSTEM="SI",IF(N35="","",N35),IF(V35="","",V35))</f>
        <v/>
      </c>
      <c r="F35" s="189">
        <f>IF(UNIT_SYSTEM="SI",IF(O35="","",O35),IF(W35="","",W35))</f>
        <v/>
      </c>
      <c r="G35" s="189">
        <f>IF(UNIT_SYSTEM="SI",IF(P35="","",P35),IF(X35="","",X35))</f>
        <v/>
      </c>
      <c r="J35" s="91" t="inlineStr">
        <is>
          <t>LOW_ALLOY_STEEL</t>
        </is>
      </c>
      <c r="K35" s="91" t="n">
        <v>460</v>
      </c>
      <c r="L35" s="91" t="n">
        <v>33.5</v>
      </c>
      <c r="M35" s="91" t="n">
        <v>12.3</v>
      </c>
      <c r="N35" s="91" t="n">
        <v>-8.699999999999999</v>
      </c>
      <c r="O35" s="91" t="n">
        <v>-23.2</v>
      </c>
      <c r="P35" s="91" t="inlineStr">
        <is>
          <t>27 J (20 ft-lb)</t>
        </is>
      </c>
      <c r="R35" s="91" t="inlineStr">
        <is>
          <t>LOW_ALLOY_STEEL</t>
        </is>
      </c>
      <c r="S35" s="91" t="n">
        <v>70</v>
      </c>
      <c r="T35" s="91" t="n">
        <v>92</v>
      </c>
      <c r="U35" s="91" t="n">
        <v>54</v>
      </c>
      <c r="V35" s="91" t="n">
        <v>16</v>
      </c>
      <c r="W35" s="91" t="n">
        <v>-10</v>
      </c>
      <c r="X35" s="91" t="inlineStr">
        <is>
          <t>27 J (20 ft-lb)</t>
        </is>
      </c>
    </row>
    <row r="36" ht="15" customHeight="1" s="92">
      <c r="A36" s="169">
        <f>IF(UNIT_SYSTEM="SI",IF(J36="","",J36),IF(R36="","",R36))</f>
        <v/>
      </c>
      <c r="B36" s="188">
        <f>IF(UNIT_SYSTEM="SI",IF(K36="","",K36),IF(S36="","",S36))</f>
        <v/>
      </c>
      <c r="C36" s="188">
        <f>IF(UNIT_SYSTEM="SI",IF(L36="","",L36),IF(T36="","",T36))</f>
        <v/>
      </c>
      <c r="D36" s="188">
        <f>IF(UNIT_SYSTEM="SI",IF(M36="","",M36),IF(U36="","",U36))</f>
        <v/>
      </c>
      <c r="E36" s="188">
        <f>IF(UNIT_SYSTEM="SI",IF(N36="","",N36),IF(V36="","",V36))</f>
        <v/>
      </c>
      <c r="F36" s="188">
        <f>IF(UNIT_SYSTEM="SI",IF(O36="","",O36),IF(W36="","",W36))</f>
        <v/>
      </c>
      <c r="G36" s="188">
        <f>IF(UNIT_SYSTEM="SI",IF(P36="","",P36),IF(X36="","",X36))</f>
        <v/>
      </c>
      <c r="J36" s="91" t="inlineStr">
        <is>
          <t>LOW_ALLOY_STEEL</t>
        </is>
      </c>
      <c r="K36" s="91" t="n">
        <v>480</v>
      </c>
      <c r="L36" s="91" t="n">
        <v>33.3</v>
      </c>
      <c r="M36" s="91" t="n">
        <v>12.1</v>
      </c>
      <c r="N36" s="91" t="n">
        <v>-8.9</v>
      </c>
      <c r="O36" s="91" t="n">
        <v>-23.4</v>
      </c>
      <c r="P36" s="91" t="inlineStr">
        <is>
          <t>27 J (20 ft-lb)</t>
        </is>
      </c>
      <c r="R36" s="91" t="inlineStr">
        <is>
          <t>LOW_ALLOY_STEEL</t>
        </is>
      </c>
      <c r="S36" s="91" t="n">
        <v>72</v>
      </c>
      <c r="T36" s="91" t="n">
        <v>91.8</v>
      </c>
      <c r="U36" s="91" t="n">
        <v>53.8</v>
      </c>
      <c r="V36" s="91" t="n">
        <v>15.8</v>
      </c>
      <c r="W36" s="91" t="n">
        <v>-10.2</v>
      </c>
      <c r="X36" s="91" t="inlineStr">
        <is>
          <t>27 J (20 ft-lb)</t>
        </is>
      </c>
    </row>
    <row r="37" ht="15" customHeight="1" s="92">
      <c r="A37" s="177">
        <f>IF(UNIT_SYSTEM="SI",IF(J37="","",J37),IF(R37="","",R37))</f>
        <v/>
      </c>
      <c r="B37" s="189">
        <f>IF(UNIT_SYSTEM="SI",IF(K37="","",K37),IF(S37="","",S37))</f>
        <v/>
      </c>
      <c r="C37" s="189">
        <f>IF(UNIT_SYSTEM="SI",IF(L37="","",L37),IF(T37="","",T37))</f>
        <v/>
      </c>
      <c r="D37" s="189">
        <f>IF(UNIT_SYSTEM="SI",IF(M37="","",M37),IF(U37="","",U37))</f>
        <v/>
      </c>
      <c r="E37" s="189">
        <f>IF(UNIT_SYSTEM="SI",IF(N37="","",N37),IF(V37="","",V37))</f>
        <v/>
      </c>
      <c r="F37" s="189">
        <f>IF(UNIT_SYSTEM="SI",IF(O37="","",O37),IF(W37="","",W37))</f>
        <v/>
      </c>
      <c r="G37" s="189">
        <f>IF(UNIT_SYSTEM="SI",IF(P37="","",P37),IF(X37="","",X37))</f>
        <v/>
      </c>
      <c r="J37" s="91" t="inlineStr">
        <is>
          <t>LOW_ALLOY_STEEL</t>
        </is>
      </c>
      <c r="K37" s="91" t="n">
        <v>500</v>
      </c>
      <c r="L37" s="91" t="n">
        <v>33.1</v>
      </c>
      <c r="M37" s="91" t="n">
        <v>11.9</v>
      </c>
      <c r="N37" s="91" t="n">
        <v>-9.199999999999999</v>
      </c>
      <c r="O37" s="91" t="n">
        <v>-23.6</v>
      </c>
      <c r="P37" s="91" t="inlineStr">
        <is>
          <t>27 J (20 ft-lb)</t>
        </is>
      </c>
      <c r="R37" s="91" t="inlineStr">
        <is>
          <t>LOW_ALLOY_STEEL</t>
        </is>
      </c>
      <c r="S37" s="91" t="n">
        <v>74</v>
      </c>
      <c r="T37" s="91" t="n">
        <v>91.5</v>
      </c>
      <c r="U37" s="91" t="n">
        <v>53.5</v>
      </c>
      <c r="V37" s="91" t="n">
        <v>15.5</v>
      </c>
      <c r="W37" s="91" t="n">
        <v>-10.5</v>
      </c>
      <c r="X37" s="91" t="inlineStr">
        <is>
          <t>27 J (20 ft-lb)</t>
        </is>
      </c>
    </row>
    <row r="38" ht="15" customHeight="1" s="92">
      <c r="A38" s="169">
        <f>IF(UNIT_SYSTEM="SI",IF(J38="","",J38),IF(R38="","",R38))</f>
        <v/>
      </c>
      <c r="B38" s="188">
        <f>IF(UNIT_SYSTEM="SI",IF(K38="","",K38),IF(S38="","",S38))</f>
        <v/>
      </c>
      <c r="C38" s="188">
        <f>IF(UNIT_SYSTEM="SI",IF(L38="","",L38),IF(T38="","",T38))</f>
        <v/>
      </c>
      <c r="D38" s="188">
        <f>IF(UNIT_SYSTEM="SI",IF(M38="","",M38),IF(U38="","",U38))</f>
        <v/>
      </c>
      <c r="E38" s="188">
        <f>IF(UNIT_SYSTEM="SI",IF(N38="","",N38),IF(V38="","",V38))</f>
        <v/>
      </c>
      <c r="F38" s="188">
        <f>IF(UNIT_SYSTEM="SI",IF(O38="","",O38),IF(W38="","",W38))</f>
        <v/>
      </c>
      <c r="G38" s="188">
        <f>IF(UNIT_SYSTEM="SI",IF(P38="","",P38),IF(X38="","",X38))</f>
        <v/>
      </c>
      <c r="J38" s="91" t="inlineStr">
        <is>
          <t>LOW_ALLOY_STEEL</t>
        </is>
      </c>
      <c r="K38" s="91" t="n">
        <v>520</v>
      </c>
      <c r="L38" s="91" t="n">
        <v>32.9</v>
      </c>
      <c r="M38" s="91" t="n">
        <v>11.7</v>
      </c>
      <c r="N38" s="91" t="n">
        <v>-9.4</v>
      </c>
      <c r="O38" s="91" t="n">
        <v>-23.8</v>
      </c>
      <c r="P38" s="91" t="inlineStr">
        <is>
          <t>27 J (20 ft-lb)</t>
        </is>
      </c>
      <c r="R38" s="91" t="inlineStr">
        <is>
          <t>LOW_ALLOY_STEEL</t>
        </is>
      </c>
      <c r="S38" s="91" t="n">
        <v>76</v>
      </c>
      <c r="T38" s="91" t="n">
        <v>91.2</v>
      </c>
      <c r="U38" s="91" t="n">
        <v>53.2</v>
      </c>
      <c r="V38" s="91" t="n">
        <v>15.2</v>
      </c>
      <c r="W38" s="91" t="n">
        <v>-10.8</v>
      </c>
      <c r="X38" s="91" t="inlineStr">
        <is>
          <t>27 J (20 ft-lb)</t>
        </is>
      </c>
    </row>
    <row r="39" ht="15" customHeight="1" s="92">
      <c r="A39" s="177">
        <f>IF(UNIT_SYSTEM="SI",IF(J39="","",J39),IF(R39="","",R39))</f>
        <v/>
      </c>
      <c r="B39" s="189">
        <f>IF(UNIT_SYSTEM="SI",IF(K39="","",K39),IF(S39="","",S39))</f>
        <v/>
      </c>
      <c r="C39" s="189">
        <f>IF(UNIT_SYSTEM="SI",IF(L39="","",L39),IF(T39="","",T39))</f>
        <v/>
      </c>
      <c r="D39" s="189">
        <f>IF(UNIT_SYSTEM="SI",IF(M39="","",M39),IF(U39="","",U39))</f>
        <v/>
      </c>
      <c r="E39" s="189">
        <f>IF(UNIT_SYSTEM="SI",IF(N39="","",N39),IF(V39="","",V39))</f>
        <v/>
      </c>
      <c r="F39" s="189">
        <f>IF(UNIT_SYSTEM="SI",IF(O39="","",O39),IF(W39="","",W39))</f>
        <v/>
      </c>
      <c r="G39" s="189">
        <f>IF(UNIT_SYSTEM="SI",IF(P39="","",P39),IF(X39="","",X39))</f>
        <v/>
      </c>
      <c r="J39" s="91" t="inlineStr">
        <is>
          <t>LOW_ALLOY_STEEL</t>
        </is>
      </c>
      <c r="K39" s="91" t="n">
        <v>540</v>
      </c>
      <c r="L39" s="91" t="n">
        <v>32.7</v>
      </c>
      <c r="M39" s="91" t="n">
        <v>11.5</v>
      </c>
      <c r="N39" s="91" t="n">
        <v>-9.6</v>
      </c>
      <c r="O39" s="91" t="n">
        <v>-24</v>
      </c>
      <c r="P39" s="91" t="inlineStr">
        <is>
          <t>27 J (20 ft-lb)</t>
        </is>
      </c>
      <c r="R39" s="91" t="inlineStr">
        <is>
          <t>LOW_ALLOY_STEEL</t>
        </is>
      </c>
      <c r="S39" s="91" t="n">
        <v>78</v>
      </c>
      <c r="T39" s="91" t="n">
        <v>91</v>
      </c>
      <c r="U39" s="91" t="n">
        <v>53</v>
      </c>
      <c r="V39" s="91" t="n">
        <v>15</v>
      </c>
      <c r="W39" s="91" t="n">
        <v>-11</v>
      </c>
      <c r="X39" s="91" t="inlineStr">
        <is>
          <t>27 J (20 ft-lb)</t>
        </is>
      </c>
    </row>
    <row r="40" ht="15" customHeight="1" s="92">
      <c r="A40" s="169">
        <f>IF(UNIT_SYSTEM="SI",IF(J40="","",J40),IF(R40="","",R40))</f>
        <v/>
      </c>
      <c r="B40" s="188">
        <f>IF(UNIT_SYSTEM="SI",IF(K40="","",K40),IF(S40="","",S40))</f>
        <v/>
      </c>
      <c r="C40" s="188">
        <f>IF(UNIT_SYSTEM="SI",IF(L40="","",L40),IF(T40="","",T40))</f>
        <v/>
      </c>
      <c r="D40" s="188">
        <f>IF(UNIT_SYSTEM="SI",IF(M40="","",M40),IF(U40="","",U40))</f>
        <v/>
      </c>
      <c r="E40" s="188">
        <f>IF(UNIT_SYSTEM="SI",IF(N40="","",N40),IF(V40="","",V40))</f>
        <v/>
      </c>
      <c r="F40" s="188">
        <f>IF(UNIT_SYSTEM="SI",IF(O40="","",O40),IF(W40="","",W40))</f>
        <v/>
      </c>
      <c r="G40" s="188">
        <f>IF(UNIT_SYSTEM="SI",IF(P40="","",P40),IF(X40="","",X40))</f>
        <v/>
      </c>
      <c r="J40" s="91" t="inlineStr">
        <is>
          <t>LOW_ALLOY_STEEL</t>
        </is>
      </c>
      <c r="K40" s="91" t="n">
        <v>560</v>
      </c>
      <c r="L40" s="91" t="n">
        <v>32.4</v>
      </c>
      <c r="M40" s="91" t="n">
        <v>11.2</v>
      </c>
      <c r="N40" s="91" t="n">
        <v>-9.800000000000001</v>
      </c>
      <c r="O40" s="91" t="n">
        <v>-24.3</v>
      </c>
      <c r="P40" s="91" t="inlineStr">
        <is>
          <t>27 J (20 ft-lb)</t>
        </is>
      </c>
      <c r="R40" s="91" t="inlineStr">
        <is>
          <t>LOW_ALLOY_STEEL</t>
        </is>
      </c>
      <c r="S40" s="91" t="n">
        <v>80</v>
      </c>
      <c r="T40" s="91" t="n">
        <v>90.7</v>
      </c>
      <c r="U40" s="91" t="n">
        <v>52.7</v>
      </c>
      <c r="V40" s="91" t="n">
        <v>14.7</v>
      </c>
      <c r="W40" s="91" t="n">
        <v>-11.3</v>
      </c>
      <c r="X40" s="91" t="inlineStr">
        <is>
          <t>27 J (20 ft-lb)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1" min="1" max="1"/>
    <col width="15" customWidth="1" style="91" min="2" max="2"/>
    <col width="26" customWidth="1" style="91" min="3" max="6"/>
    <col hidden="1" width="26" customWidth="1" style="91" min="7" max="7"/>
    <col hidden="1" width="29" customWidth="1" style="91" min="8" max="8"/>
    <col hidden="1" width="27" customWidth="1" style="91" min="9" max="9"/>
    <col hidden="1" width="30" customWidth="1" style="91" min="10" max="10"/>
    <col hidden="1" width="26" customWidth="1" style="91" min="11" max="12"/>
    <col hidden="1" width="27" customWidth="1" style="91" min="13" max="14"/>
  </cols>
  <sheetData>
    <row r="1" ht="30" customHeight="1" s="92">
      <c r="A1" s="167" t="inlineStr">
        <is>
          <t>condition</t>
        </is>
      </c>
      <c r="B1" s="167" t="inlineStr">
        <is>
          <t>temperature</t>
        </is>
      </c>
      <c r="C1" s="167">
        <f>IF(UNIT_SYSTEM="SI","Jc mean (kJ/m²)","Jc mean (in-lb/in²)")</f>
        <v/>
      </c>
      <c r="D1" s="167">
        <f>IF(UNIT_SYSTEM="SI","Jc lower 90/95 (kJ/m²)","Jc lower 90/95 (in-lb/in²)")</f>
        <v/>
      </c>
      <c r="E1" s="167">
        <f>IF(UNIT_SYSTEM="SI","dJ/da mean (MPa)","dJ/da mean (ksi)")</f>
        <v/>
      </c>
      <c r="F1" s="167">
        <f>IF(UNIT_SYSTEM="SI","dJ/da lower (MPa)","dJ/da lower (ksi)")</f>
        <v/>
      </c>
      <c r="G1" s="168" t="inlineStr">
        <is>
          <t>Jc_mean_kJ_m2 (source)</t>
        </is>
      </c>
      <c r="H1" s="168" t="inlineStr">
        <is>
          <t>Jc_mean_inlb_in2 (source)</t>
        </is>
      </c>
      <c r="I1" s="168" t="inlineStr">
        <is>
          <t>Jc_lower_kJ_m2 (source)</t>
        </is>
      </c>
      <c r="J1" s="168" t="inlineStr">
        <is>
          <t>Jc_lower_inlb_in2 (source)</t>
        </is>
      </c>
      <c r="K1" s="168" t="inlineStr">
        <is>
          <t>dJda_mean_MPa (source)</t>
        </is>
      </c>
      <c r="L1" s="168" t="inlineStr">
        <is>
          <t>dJda_mean_ksi (source)</t>
        </is>
      </c>
      <c r="M1" s="168" t="inlineStr">
        <is>
          <t>dJda_lower_MPa (source)</t>
        </is>
      </c>
      <c r="N1" s="168" t="inlineStr">
        <is>
          <t>dJda_lower_ksi (source)</t>
        </is>
      </c>
    </row>
    <row r="2" ht="15" customHeight="1" s="92">
      <c r="A2" s="169" t="inlineStr">
        <is>
          <t>WROUGHT</t>
        </is>
      </c>
      <c r="B2" s="169">
        <f>IF(UNIT_SYSTEM="SI","0-125 °C","32-257 °F")</f>
        <v/>
      </c>
      <c r="C2" s="170">
        <f>IF(UNIT_SYSTEM="SI",IF(G2="","",G2),IF(H2="","",H2))</f>
        <v/>
      </c>
      <c r="D2" s="170">
        <f>IF(UNIT_SYSTEM="SI",IF(I2="","",I2),IF(J2="","",J2))</f>
        <v/>
      </c>
      <c r="E2" s="170">
        <f>IF(UNIT_SYSTEM="SI",IF(K2="","",K2),IF(L2="","",L2))</f>
        <v/>
      </c>
      <c r="F2" s="172">
        <f>IF(UNIT_SYSTEM="SI",IF(M2="","",M2),IF(N2="","",N2))</f>
        <v/>
      </c>
      <c r="G2" s="173" t="n">
        <v>672</v>
      </c>
      <c r="H2" s="173" t="n">
        <v>3840</v>
      </c>
      <c r="I2" s="173" t="n">
        <v>215</v>
      </c>
      <c r="J2" s="173" t="n">
        <v>1224</v>
      </c>
      <c r="K2" s="173" t="n">
        <v>292</v>
      </c>
      <c r="L2" s="174" t="n">
        <v>508.8</v>
      </c>
      <c r="M2" s="174" t="n">
        <v>59</v>
      </c>
      <c r="N2" s="173" t="n">
        <v>102</v>
      </c>
    </row>
    <row r="3" ht="15" customHeight="1" s="92">
      <c r="A3" s="177" t="inlineStr">
        <is>
          <t>GTA_WELD</t>
        </is>
      </c>
      <c r="B3" s="177">
        <f>IF(UNIT_SYSTEM="SI","0-125 °C","32-257 °F")</f>
        <v/>
      </c>
      <c r="C3" s="178">
        <f>IF(UNIT_SYSTEM="SI",IF(G3="","",G3),IF(H3="","",H3))</f>
        <v/>
      </c>
      <c r="D3" s="178">
        <f>IF(UNIT_SYSTEM="SI",IF(I3="","",I3),IF(J3="","",J3))</f>
        <v/>
      </c>
      <c r="E3" s="178">
        <f>IF(UNIT_SYSTEM="SI",IF(K3="","",K3),IF(L3="","",L3))</f>
        <v/>
      </c>
      <c r="F3" s="178">
        <f>IF(UNIT_SYSTEM="SI",IF(M3="","",M3),IF(N3="","",N3))</f>
        <v/>
      </c>
      <c r="G3" s="179" t="n">
        <v>492</v>
      </c>
      <c r="H3" s="179" t="n">
        <v>2808</v>
      </c>
      <c r="I3" s="179" t="n">
        <v>192</v>
      </c>
      <c r="J3" s="181" t="n">
        <v>1096.8</v>
      </c>
      <c r="K3" s="179" t="n">
        <v>390</v>
      </c>
      <c r="L3" s="180" t="n">
        <v>679.2</v>
      </c>
      <c r="M3" s="179" t="n">
        <v>139</v>
      </c>
      <c r="N3" s="180" t="n">
        <v>241.2</v>
      </c>
    </row>
    <row r="4" ht="15" customHeight="1" s="92">
      <c r="A4" s="169" t="inlineStr">
        <is>
          <t>SA_WELD</t>
        </is>
      </c>
      <c r="B4" s="169">
        <f>IF(UNIT_SYSTEM="SI","0-125 °C","32-257 °F")</f>
        <v/>
      </c>
      <c r="C4" s="170">
        <f>IF(UNIT_SYSTEM="SI",IF(G4="","",G4),IF(H4="","",H4))</f>
        <v/>
      </c>
      <c r="D4" s="172">
        <f>IF(UNIT_SYSTEM="SI",IF(I4="","",I4),IF(J4="","",J4))</f>
        <v/>
      </c>
      <c r="E4" s="170">
        <f>IF(UNIT_SYSTEM="SI",IF(K4="","",K4),IF(L4="","",L4))</f>
        <v/>
      </c>
      <c r="F4" s="172">
        <f>IF(UNIT_SYSTEM="SI",IF(M4="","",M4),IF(N4="","",N4))</f>
        <v/>
      </c>
      <c r="G4" s="173" t="n">
        <v>147</v>
      </c>
      <c r="H4" s="174" t="n">
        <v>838.8</v>
      </c>
      <c r="I4" s="174" t="n">
        <v>67</v>
      </c>
      <c r="J4" s="173" t="n">
        <v>384</v>
      </c>
      <c r="K4" s="173" t="n">
        <v>150</v>
      </c>
      <c r="L4" s="174" t="n">
        <v>261.6</v>
      </c>
      <c r="M4" s="174" t="n">
        <v>72</v>
      </c>
      <c r="N4" s="173" t="n">
        <v>120</v>
      </c>
    </row>
    <row r="5" ht="15" customHeight="1" s="92">
      <c r="A5" s="177" t="inlineStr">
        <is>
          <t>WROUGHT</t>
        </is>
      </c>
      <c r="B5" s="177">
        <f>IF(UNIT_SYSTEM="SI","400-550 °C","752-1022 °F")</f>
        <v/>
      </c>
      <c r="C5" s="178">
        <f>IF(UNIT_SYSTEM="SI",IF(G5="","",G5),IF(H5="","",H5))</f>
        <v/>
      </c>
      <c r="D5" s="185">
        <f>IF(UNIT_SYSTEM="SI",IF(I5="","",I5),IF(J5="","",J5))</f>
        <v/>
      </c>
      <c r="E5" s="178">
        <f>IF(UNIT_SYSTEM="SI",IF(K5="","",K5),IF(L5="","",L5))</f>
        <v/>
      </c>
      <c r="F5" s="185">
        <f>IF(UNIT_SYSTEM="SI",IF(M5="","",M5),IF(N5="","",N5))</f>
        <v/>
      </c>
      <c r="G5" s="179" t="n">
        <v>421</v>
      </c>
      <c r="H5" s="179" t="n">
        <v>2400</v>
      </c>
      <c r="I5" s="180" t="n">
        <v>96</v>
      </c>
      <c r="J5" s="179" t="n">
        <v>552</v>
      </c>
      <c r="K5" s="179" t="n">
        <v>263</v>
      </c>
      <c r="L5" s="180" t="n">
        <v>457.2</v>
      </c>
      <c r="M5" s="180" t="n">
        <v>79</v>
      </c>
      <c r="N5" s="179" t="n">
        <v>132</v>
      </c>
    </row>
    <row r="6" ht="15" customHeight="1" s="92">
      <c r="A6" s="169" t="inlineStr">
        <is>
          <t>GTA_WELD</t>
        </is>
      </c>
      <c r="B6" s="169">
        <f>IF(UNIT_SYSTEM="SI","400-550 °C","752-1022 °F")</f>
        <v/>
      </c>
      <c r="C6" s="170">
        <f>IF(UNIT_SYSTEM="SI",IF(G6="","",G6),IF(H6="","",H6))</f>
        <v/>
      </c>
      <c r="D6" s="170">
        <f>IF(UNIT_SYSTEM="SI",IF(I6="","",I6),IF(J6="","",J6))</f>
        <v/>
      </c>
      <c r="E6" s="170">
        <f>IF(UNIT_SYSTEM="SI",IF(K6="","",K6),IF(L6="","",L6))</f>
        <v/>
      </c>
      <c r="F6" s="170">
        <f>IF(UNIT_SYSTEM="SI",IF(M6="","",M6),IF(N6="","",N6))</f>
        <v/>
      </c>
      <c r="G6" s="173" t="n">
        <v>293</v>
      </c>
      <c r="H6" s="173" t="n">
        <v>1668</v>
      </c>
      <c r="I6" s="173" t="n">
        <v>180</v>
      </c>
      <c r="J6" s="175" t="n">
        <v>1028.4</v>
      </c>
      <c r="K6" s="173" t="n">
        <v>307</v>
      </c>
      <c r="L6" s="173" t="n">
        <v>534</v>
      </c>
      <c r="M6" s="173" t="n">
        <v>107</v>
      </c>
      <c r="N6" s="173" t="n">
        <v>186</v>
      </c>
    </row>
    <row r="8" ht="15" customHeight="1" s="92">
      <c r="A8" s="115" t="inlineStr">
        <is>
          <t>API 579 Table 9F.2M (SI) / 9F.2 (FPS) - Types 304/308/309/316/321/347; linear interpolation permitted between the bands. Values follow the Unit System drop-down on the Cover sheet.</t>
        </is>
      </c>
    </row>
  </sheetData>
  <autoFilter ref="A1:N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1" min="1" max="20"/>
  </cols>
  <sheetData>
    <row r="1" ht="30" customHeight="1" s="92">
      <c r="A1" s="167" t="inlineStr">
        <is>
          <t>Lr \ X</t>
        </is>
      </c>
      <c r="B1" s="167" t="inlineStr">
        <is>
          <t>0.0</t>
        </is>
      </c>
      <c r="C1" s="167" t="inlineStr">
        <is>
          <t>0.02</t>
        </is>
      </c>
      <c r="D1" s="167" t="inlineStr">
        <is>
          <t>0.04</t>
        </is>
      </c>
      <c r="E1" s="167" t="inlineStr">
        <is>
          <t>0.06</t>
        </is>
      </c>
      <c r="F1" s="167" t="inlineStr">
        <is>
          <t>0.08</t>
        </is>
      </c>
      <c r="G1" s="167" t="inlineStr">
        <is>
          <t>0.1</t>
        </is>
      </c>
      <c r="H1" s="167" t="inlineStr">
        <is>
          <t>0.2</t>
        </is>
      </c>
      <c r="I1" s="167" t="inlineStr">
        <is>
          <t>0.3</t>
        </is>
      </c>
      <c r="J1" s="167" t="inlineStr">
        <is>
          <t>0.4</t>
        </is>
      </c>
      <c r="K1" s="167" t="inlineStr">
        <is>
          <t>0.5</t>
        </is>
      </c>
      <c r="L1" s="167" t="inlineStr">
        <is>
          <t>1.0</t>
        </is>
      </c>
      <c r="M1" s="167" t="inlineStr">
        <is>
          <t>1.5</t>
        </is>
      </c>
      <c r="N1" s="167" t="inlineStr">
        <is>
          <t>2.0</t>
        </is>
      </c>
      <c r="O1" s="167" t="inlineStr">
        <is>
          <t>2.5</t>
        </is>
      </c>
      <c r="P1" s="167" t="inlineStr">
        <is>
          <t>3.0</t>
        </is>
      </c>
      <c r="Q1" s="167" t="inlineStr">
        <is>
          <t>3.5</t>
        </is>
      </c>
      <c r="R1" s="167" t="inlineStr">
        <is>
          <t>4.0</t>
        </is>
      </c>
      <c r="S1" s="167" t="inlineStr">
        <is>
          <t>4.5</t>
        </is>
      </c>
      <c r="T1" s="167" t="inlineStr">
        <is>
          <t>5.0</t>
        </is>
      </c>
    </row>
    <row r="2" ht="15" customHeight="1" s="92">
      <c r="A2" s="172" t="n">
        <v>0</v>
      </c>
      <c r="B2" s="172" t="n">
        <v>1</v>
      </c>
      <c r="C2" s="172" t="n">
        <v>1</v>
      </c>
      <c r="D2" s="172" t="n">
        <v>1</v>
      </c>
      <c r="E2" s="172" t="n">
        <v>1</v>
      </c>
      <c r="F2" s="172" t="n">
        <v>1</v>
      </c>
      <c r="G2" s="172" t="n">
        <v>1</v>
      </c>
      <c r="H2" s="172" t="n">
        <v>1</v>
      </c>
      <c r="I2" s="172" t="n">
        <v>1</v>
      </c>
      <c r="J2" s="172" t="n">
        <v>1</v>
      </c>
      <c r="K2" s="172" t="n">
        <v>1</v>
      </c>
      <c r="L2" s="172" t="n">
        <v>1</v>
      </c>
      <c r="M2" s="172" t="n">
        <v>1</v>
      </c>
      <c r="N2" s="172" t="n">
        <v>1</v>
      </c>
      <c r="O2" s="172" t="n">
        <v>1</v>
      </c>
      <c r="P2" s="172" t="n">
        <v>1</v>
      </c>
      <c r="Q2" s="172" t="n">
        <v>1</v>
      </c>
      <c r="R2" s="172" t="n">
        <v>1</v>
      </c>
      <c r="S2" s="172" t="n">
        <v>1</v>
      </c>
      <c r="T2" s="172" t="n">
        <v>1</v>
      </c>
    </row>
    <row r="3" ht="15" customHeight="1" s="92">
      <c r="A3" s="185" t="n">
        <v>0.01</v>
      </c>
      <c r="B3" s="185" t="n">
        <v>1</v>
      </c>
      <c r="C3" s="185" t="n">
        <v>1</v>
      </c>
      <c r="D3" s="185" t="n">
        <v>1</v>
      </c>
      <c r="E3" s="185" t="n">
        <v>1</v>
      </c>
      <c r="F3" s="185" t="n">
        <v>1</v>
      </c>
      <c r="G3" s="185" t="n">
        <v>1</v>
      </c>
      <c r="H3" s="185" t="n">
        <v>1.001</v>
      </c>
      <c r="I3" s="185" t="n">
        <v>1.001</v>
      </c>
      <c r="J3" s="185" t="n">
        <v>1.002</v>
      </c>
      <c r="K3" s="185" t="n">
        <v>1.003</v>
      </c>
      <c r="L3" s="185" t="n">
        <v>1.011</v>
      </c>
      <c r="M3" s="185" t="n">
        <v>1.019</v>
      </c>
      <c r="N3" s="185" t="n">
        <v>1.023</v>
      </c>
      <c r="O3" s="185" t="n">
        <v>1.026</v>
      </c>
      <c r="P3" s="185" t="n">
        <v>1.028</v>
      </c>
      <c r="Q3" s="185" t="n">
        <v>1.029</v>
      </c>
      <c r="R3" s="185" t="n">
        <v>1.03</v>
      </c>
      <c r="S3" s="185" t="n">
        <v>1.031</v>
      </c>
      <c r="T3" s="185" t="n">
        <v>1.032</v>
      </c>
    </row>
    <row r="4" ht="15" customHeight="1" s="92">
      <c r="A4" s="172" t="n">
        <v>0.02</v>
      </c>
      <c r="B4" s="172" t="n">
        <v>1</v>
      </c>
      <c r="C4" s="172" t="n">
        <v>1</v>
      </c>
      <c r="D4" s="172" t="n">
        <v>1</v>
      </c>
      <c r="E4" s="172" t="n">
        <v>1.001</v>
      </c>
      <c r="F4" s="172" t="n">
        <v>1.001</v>
      </c>
      <c r="G4" s="172" t="n">
        <v>1.001</v>
      </c>
      <c r="H4" s="172" t="n">
        <v>1.002</v>
      </c>
      <c r="I4" s="172" t="n">
        <v>1.003</v>
      </c>
      <c r="J4" s="172" t="n">
        <v>1.004</v>
      </c>
      <c r="K4" s="172" t="n">
        <v>1.006</v>
      </c>
      <c r="L4" s="172" t="n">
        <v>1.019</v>
      </c>
      <c r="M4" s="172" t="n">
        <v>1.031</v>
      </c>
      <c r="N4" s="172" t="n">
        <v>1.038</v>
      </c>
      <c r="O4" s="172" t="n">
        <v>1.042</v>
      </c>
      <c r="P4" s="172" t="n">
        <v>1.044</v>
      </c>
      <c r="Q4" s="172" t="n">
        <v>1.046</v>
      </c>
      <c r="R4" s="172" t="n">
        <v>1.048</v>
      </c>
      <c r="S4" s="172" t="n">
        <v>1.051</v>
      </c>
      <c r="T4" s="172" t="n">
        <v>1.047</v>
      </c>
    </row>
    <row r="5" ht="15" customHeight="1" s="92">
      <c r="A5" s="185" t="n">
        <v>0.03</v>
      </c>
      <c r="B5" s="185" t="n">
        <v>1</v>
      </c>
      <c r="C5" s="185" t="n">
        <v>1.001</v>
      </c>
      <c r="D5" s="185" t="n">
        <v>1.001</v>
      </c>
      <c r="E5" s="185" t="n">
        <v>1.001</v>
      </c>
      <c r="F5" s="185" t="n">
        <v>1.001</v>
      </c>
      <c r="G5" s="185" t="n">
        <v>1.002</v>
      </c>
      <c r="H5" s="185" t="n">
        <v>1.003</v>
      </c>
      <c r="I5" s="185" t="n">
        <v>1.004</v>
      </c>
      <c r="J5" s="185" t="n">
        <v>1.006</v>
      </c>
      <c r="K5" s="185" t="n">
        <v>1.008</v>
      </c>
      <c r="L5" s="185" t="n">
        <v>1.026</v>
      </c>
      <c r="M5" s="185" t="n">
        <v>1.04</v>
      </c>
      <c r="N5" s="185" t="n">
        <v>1.048</v>
      </c>
      <c r="O5" s="185" t="n">
        <v>1.053</v>
      </c>
      <c r="P5" s="185" t="n">
        <v>1.056</v>
      </c>
      <c r="Q5" s="185" t="n">
        <v>1.059</v>
      </c>
      <c r="R5" s="185" t="n">
        <v>1.06</v>
      </c>
      <c r="S5" s="185" t="n">
        <v>1.061</v>
      </c>
      <c r="T5" s="185" t="n">
        <v>1.062</v>
      </c>
    </row>
    <row r="6" ht="15" customHeight="1" s="92">
      <c r="A6" s="172" t="n">
        <v>0.04</v>
      </c>
      <c r="B6" s="172" t="n">
        <v>1</v>
      </c>
      <c r="C6" s="172" t="n">
        <v>1.001</v>
      </c>
      <c r="D6" s="172" t="n">
        <v>1.001</v>
      </c>
      <c r="E6" s="172" t="n">
        <v>1.001</v>
      </c>
      <c r="F6" s="172" t="n">
        <v>1.002</v>
      </c>
      <c r="G6" s="172" t="n">
        <v>1.002</v>
      </c>
      <c r="H6" s="172" t="n">
        <v>1.004</v>
      </c>
      <c r="I6" s="172" t="n">
        <v>1.006</v>
      </c>
      <c r="J6" s="172" t="n">
        <v>1.008</v>
      </c>
      <c r="K6" s="172" t="n">
        <v>1.011</v>
      </c>
      <c r="L6" s="172" t="n">
        <v>1.031</v>
      </c>
      <c r="M6" s="172" t="n">
        <v>1.047</v>
      </c>
      <c r="N6" s="172" t="n">
        <v>1.056</v>
      </c>
      <c r="O6" s="172" t="n">
        <v>1.061</v>
      </c>
      <c r="P6" s="172" t="n">
        <v>1.065</v>
      </c>
      <c r="Q6" s="172" t="n">
        <v>1.068</v>
      </c>
      <c r="R6" s="172" t="n">
        <v>1.071</v>
      </c>
      <c r="S6" s="172" t="n">
        <v>1.076</v>
      </c>
      <c r="T6" s="172" t="n">
        <v>1.081</v>
      </c>
    </row>
    <row r="7" ht="15" customHeight="1" s="92">
      <c r="A7" s="185" t="n">
        <v>0.06</v>
      </c>
      <c r="B7" s="185" t="n">
        <v>1</v>
      </c>
      <c r="C7" s="185" t="n">
        <v>1.002</v>
      </c>
      <c r="D7" s="185" t="n">
        <v>1.002</v>
      </c>
      <c r="E7" s="185" t="n">
        <v>1.003</v>
      </c>
      <c r="F7" s="185" t="n">
        <v>1.003</v>
      </c>
      <c r="G7" s="185" t="n">
        <v>1.004</v>
      </c>
      <c r="H7" s="185" t="n">
        <v>1.006</v>
      </c>
      <c r="I7" s="185" t="n">
        <v>1.009</v>
      </c>
      <c r="J7" s="185" t="n">
        <v>1.012</v>
      </c>
      <c r="K7" s="185" t="n">
        <v>1.016</v>
      </c>
      <c r="L7" s="185" t="n">
        <v>1.039</v>
      </c>
      <c r="M7" s="185" t="n">
        <v>1.058</v>
      </c>
      <c r="N7" s="185" t="n">
        <v>1.068</v>
      </c>
      <c r="O7" s="185" t="n">
        <v>1.074</v>
      </c>
      <c r="P7" s="185" t="n">
        <v>1.078</v>
      </c>
      <c r="Q7" s="185" t="n">
        <v>1.083</v>
      </c>
      <c r="R7" s="185" t="n">
        <v>1.087</v>
      </c>
      <c r="S7" s="185" t="n">
        <v>1.092</v>
      </c>
      <c r="T7" s="185" t="n">
        <v>1.099</v>
      </c>
    </row>
    <row r="8" ht="15" customHeight="1" s="92">
      <c r="A8" s="172" t="n">
        <v>0.08</v>
      </c>
      <c r="B8" s="172" t="n">
        <v>1</v>
      </c>
      <c r="C8" s="172" t="n">
        <v>1.002</v>
      </c>
      <c r="D8" s="172" t="n">
        <v>1.003</v>
      </c>
      <c r="E8" s="172" t="n">
        <v>1.004</v>
      </c>
      <c r="F8" s="172" t="n">
        <v>1.004</v>
      </c>
      <c r="G8" s="172" t="n">
        <v>1.005</v>
      </c>
      <c r="H8" s="172" t="n">
        <v>1.008</v>
      </c>
      <c r="I8" s="172" t="n">
        <v>1.012</v>
      </c>
      <c r="J8" s="172" t="n">
        <v>1.016</v>
      </c>
      <c r="K8" s="172" t="n">
        <v>1.02</v>
      </c>
      <c r="L8" s="172" t="n">
        <v>1.045</v>
      </c>
      <c r="M8" s="172" t="n">
        <v>1.066</v>
      </c>
      <c r="N8" s="172" t="n">
        <v>1.077</v>
      </c>
      <c r="O8" s="172" t="n">
        <v>1.084</v>
      </c>
      <c r="P8" s="172" t="n">
        <v>1.088</v>
      </c>
      <c r="Q8" s="172" t="n">
        <v>1.093</v>
      </c>
      <c r="R8" s="172" t="n">
        <v>1.098</v>
      </c>
      <c r="S8" s="172" t="n">
        <v>1.103</v>
      </c>
      <c r="T8" s="172" t="n">
        <v>1.112</v>
      </c>
    </row>
    <row r="9" ht="15" customHeight="1" s="92">
      <c r="A9" s="185" t="n">
        <v>0.1</v>
      </c>
      <c r="B9" s="185" t="n">
        <v>1</v>
      </c>
      <c r="C9" s="185" t="n">
        <v>1.004</v>
      </c>
      <c r="D9" s="185" t="n">
        <v>1.004</v>
      </c>
      <c r="E9" s="185" t="n">
        <v>1.005</v>
      </c>
      <c r="F9" s="185" t="n">
        <v>1.006</v>
      </c>
      <c r="G9" s="185" t="n">
        <v>1.007</v>
      </c>
      <c r="H9" s="185" t="n">
        <v>1.011</v>
      </c>
      <c r="I9" s="185" t="n">
        <v>1.015</v>
      </c>
      <c r="J9" s="185" t="n">
        <v>1.02</v>
      </c>
      <c r="K9" s="185" t="n">
        <v>1.024</v>
      </c>
      <c r="L9" s="185" t="n">
        <v>1.05</v>
      </c>
      <c r="M9" s="185" t="n">
        <v>1.072</v>
      </c>
      <c r="N9" s="185" t="n">
        <v>1.084</v>
      </c>
      <c r="O9" s="185" t="n">
        <v>1.092</v>
      </c>
      <c r="P9" s="185" t="n">
        <v>1.097</v>
      </c>
      <c r="Q9" s="185" t="n">
        <v>1.102</v>
      </c>
      <c r="R9" s="185" t="n">
        <v>1.108</v>
      </c>
      <c r="S9" s="185" t="n">
        <v>1.114</v>
      </c>
      <c r="T9" s="185" t="n">
        <v>1.122</v>
      </c>
    </row>
    <row r="10" ht="15" customHeight="1" s="92">
      <c r="A10" s="172" t="n">
        <v>0.12</v>
      </c>
      <c r="B10" s="172" t="n">
        <v>1</v>
      </c>
      <c r="C10" s="172" t="n">
        <v>1.005</v>
      </c>
      <c r="D10" s="172" t="n">
        <v>1.006</v>
      </c>
      <c r="E10" s="172" t="n">
        <v>1.007</v>
      </c>
      <c r="F10" s="172" t="n">
        <v>1.008</v>
      </c>
      <c r="G10" s="172" t="n">
        <v>1.009</v>
      </c>
      <c r="H10" s="172" t="n">
        <v>1.013</v>
      </c>
      <c r="I10" s="172" t="n">
        <v>1.018</v>
      </c>
      <c r="J10" s="172" t="n">
        <v>1.023</v>
      </c>
      <c r="K10" s="172" t="n">
        <v>1.028</v>
      </c>
      <c r="L10" s="172" t="n">
        <v>1.054</v>
      </c>
      <c r="M10" s="172" t="n">
        <v>1.077</v>
      </c>
      <c r="N10" s="172" t="n">
        <v>1.09</v>
      </c>
      <c r="O10" s="172" t="n">
        <v>1.099</v>
      </c>
      <c r="P10" s="172" t="n">
        <v>1.104</v>
      </c>
      <c r="Q10" s="172" t="n">
        <v>1.11</v>
      </c>
      <c r="R10" s="172" t="n">
        <v>1.116</v>
      </c>
      <c r="S10" s="172" t="n">
        <v>1.122</v>
      </c>
      <c r="T10" s="172" t="n">
        <v>1.132</v>
      </c>
    </row>
    <row r="11" ht="15" customHeight="1" s="92">
      <c r="A11" s="185" t="n">
        <v>0.14</v>
      </c>
      <c r="B11" s="185" t="n">
        <v>1</v>
      </c>
      <c r="C11" s="185" t="n">
        <v>1.007</v>
      </c>
      <c r="D11" s="185" t="n">
        <v>1.008</v>
      </c>
      <c r="E11" s="185" t="n">
        <v>1.009</v>
      </c>
      <c r="F11" s="185" t="n">
        <v>1.01</v>
      </c>
      <c r="G11" s="185" t="n">
        <v>1.011</v>
      </c>
      <c r="H11" s="185" t="n">
        <v>1.016</v>
      </c>
      <c r="I11" s="185" t="n">
        <v>1.022</v>
      </c>
      <c r="J11" s="185" t="n">
        <v>1.027</v>
      </c>
      <c r="K11" s="185" t="n">
        <v>1.032</v>
      </c>
      <c r="L11" s="185" t="n">
        <v>1.057</v>
      </c>
      <c r="M11" s="185" t="n">
        <v>1.082</v>
      </c>
      <c r="N11" s="185" t="n">
        <v>1.096</v>
      </c>
      <c r="O11" s="185" t="n">
        <v>1.105</v>
      </c>
      <c r="P11" s="185" t="n">
        <v>1.111</v>
      </c>
      <c r="Q11" s="185" t="n">
        <v>1.117</v>
      </c>
      <c r="R11" s="185" t="n">
        <v>1.123</v>
      </c>
      <c r="S11" s="185" t="n">
        <v>1.131</v>
      </c>
      <c r="T11" s="185" t="n">
        <v>1.142</v>
      </c>
    </row>
    <row r="12" ht="15" customHeight="1" s="92">
      <c r="A12" s="172" t="n">
        <v>0.16</v>
      </c>
      <c r="B12" s="172" t="n">
        <v>1</v>
      </c>
      <c r="C12" s="172" t="n">
        <v>1.008</v>
      </c>
      <c r="D12" s="172" t="n">
        <v>1.01</v>
      </c>
      <c r="E12" s="172" t="n">
        <v>1.011</v>
      </c>
      <c r="F12" s="172" t="n">
        <v>1.012</v>
      </c>
      <c r="G12" s="172" t="n">
        <v>1.013</v>
      </c>
      <c r="H12" s="172" t="n">
        <v>1.019</v>
      </c>
      <c r="I12" s="172" t="n">
        <v>1.025</v>
      </c>
      <c r="J12" s="172" t="n">
        <v>1.031</v>
      </c>
      <c r="K12" s="172" t="n">
        <v>1.035</v>
      </c>
      <c r="L12" s="172" t="n">
        <v>1.06</v>
      </c>
      <c r="M12" s="172" t="n">
        <v>1.086</v>
      </c>
      <c r="N12" s="172" t="n">
        <v>1.101</v>
      </c>
      <c r="O12" s="172" t="n">
        <v>1.111</v>
      </c>
      <c r="P12" s="172" t="n">
        <v>1.117</v>
      </c>
      <c r="Q12" s="172" t="n">
        <v>1.123</v>
      </c>
      <c r="R12" s="172" t="n">
        <v>1.13</v>
      </c>
      <c r="S12" s="172" t="n">
        <v>1.138</v>
      </c>
      <c r="T12" s="172" t="n">
        <v>1.149</v>
      </c>
    </row>
    <row r="13" ht="15" customHeight="1" s="92">
      <c r="A13" s="185" t="n">
        <v>0.18</v>
      </c>
      <c r="B13" s="185" t="n">
        <v>1</v>
      </c>
      <c r="C13" s="185" t="n">
        <v>1.01</v>
      </c>
      <c r="D13" s="185" t="n">
        <v>1.012</v>
      </c>
      <c r="E13" s="185" t="n">
        <v>1.013</v>
      </c>
      <c r="F13" s="185" t="n">
        <v>1.014</v>
      </c>
      <c r="G13" s="185" t="n">
        <v>1.016</v>
      </c>
      <c r="H13" s="185" t="n">
        <v>1.022</v>
      </c>
      <c r="I13" s="185" t="n">
        <v>1.029</v>
      </c>
      <c r="J13" s="185" t="n">
        <v>1.034</v>
      </c>
      <c r="K13" s="185" t="n">
        <v>1.038</v>
      </c>
      <c r="L13" s="185" t="n">
        <v>1.063</v>
      </c>
      <c r="M13" s="185" t="n">
        <v>1.09</v>
      </c>
      <c r="N13" s="185" t="n">
        <v>1.106</v>
      </c>
      <c r="O13" s="185" t="n">
        <v>1.116</v>
      </c>
      <c r="P13" s="185" t="n">
        <v>1.124</v>
      </c>
      <c r="Q13" s="185" t="n">
        <v>1.129</v>
      </c>
      <c r="R13" s="185" t="n">
        <v>1.137</v>
      </c>
      <c r="S13" s="185" t="n">
        <v>1.145</v>
      </c>
      <c r="T13" s="185" t="n">
        <v>1.158</v>
      </c>
    </row>
    <row r="14" ht="15" customHeight="1" s="92">
      <c r="A14" s="172" t="n">
        <v>0.2</v>
      </c>
      <c r="B14" s="172" t="n">
        <v>1</v>
      </c>
      <c r="C14" s="172" t="n">
        <v>1.012</v>
      </c>
      <c r="D14" s="172" t="n">
        <v>1.014</v>
      </c>
      <c r="E14" s="172" t="n">
        <v>1.015</v>
      </c>
      <c r="F14" s="172" t="n">
        <v>1.017</v>
      </c>
      <c r="G14" s="172" t="n">
        <v>1.018</v>
      </c>
      <c r="H14" s="172" t="n">
        <v>1.026</v>
      </c>
      <c r="I14" s="172" t="n">
        <v>1.033</v>
      </c>
      <c r="J14" s="172" t="n">
        <v>1.038</v>
      </c>
      <c r="K14" s="172" t="n">
        <v>1.041</v>
      </c>
      <c r="L14" s="172" t="n">
        <v>1.066</v>
      </c>
      <c r="M14" s="172" t="n">
        <v>1.094</v>
      </c>
      <c r="N14" s="172" t="n">
        <v>1.11</v>
      </c>
      <c r="O14" s="172" t="n">
        <v>1.121</v>
      </c>
      <c r="P14" s="172" t="n">
        <v>1.128</v>
      </c>
      <c r="Q14" s="172" t="n">
        <v>1.136</v>
      </c>
      <c r="R14" s="172" t="n">
        <v>1.144</v>
      </c>
      <c r="S14" s="172" t="n">
        <v>1.153</v>
      </c>
      <c r="T14" s="172" t="n">
        <v>1.166</v>
      </c>
    </row>
    <row r="15" ht="15" customHeight="1" s="92">
      <c r="A15" s="185" t="n">
        <v>0.3</v>
      </c>
      <c r="B15" s="185" t="n">
        <v>1</v>
      </c>
      <c r="C15" s="185" t="n">
        <v>1.027</v>
      </c>
      <c r="D15" s="185" t="n">
        <v>1.029</v>
      </c>
      <c r="E15" s="185" t="n">
        <v>1.031</v>
      </c>
      <c r="F15" s="185" t="n">
        <v>1.033</v>
      </c>
      <c r="G15" s="185" t="n">
        <v>1.035</v>
      </c>
      <c r="H15" s="185" t="n">
        <v>1.045</v>
      </c>
      <c r="I15" s="185" t="n">
        <v>1.051</v>
      </c>
      <c r="J15" s="185" t="n">
        <v>1.054</v>
      </c>
      <c r="K15" s="185" t="n">
        <v>1.055</v>
      </c>
      <c r="L15" s="185" t="n">
        <v>1.08</v>
      </c>
      <c r="M15" s="185" t="n">
        <v>1.113</v>
      </c>
      <c r="N15" s="185" t="n">
        <v>1.133</v>
      </c>
      <c r="O15" s="185" t="n">
        <v>1.146</v>
      </c>
      <c r="P15" s="185" t="n">
        <v>1.155</v>
      </c>
      <c r="Q15" s="185" t="n">
        <v>1.165</v>
      </c>
      <c r="R15" s="185" t="n">
        <v>1.175</v>
      </c>
      <c r="S15" s="185" t="n">
        <v>1.187</v>
      </c>
      <c r="T15" s="185" t="n">
        <v>1.205</v>
      </c>
    </row>
    <row r="16" ht="15" customHeight="1" s="92">
      <c r="A16" s="172" t="n">
        <v>0.4</v>
      </c>
      <c r="B16" s="172" t="n">
        <v>1</v>
      </c>
      <c r="C16" s="172" t="n">
        <v>1.049</v>
      </c>
      <c r="D16" s="172" t="n">
        <v>1.052</v>
      </c>
      <c r="E16" s="172" t="n">
        <v>1.054</v>
      </c>
      <c r="F16" s="172" t="n">
        <v>1.057</v>
      </c>
      <c r="G16" s="172" t="n">
        <v>1.059</v>
      </c>
      <c r="H16" s="172" t="n">
        <v>1.068</v>
      </c>
      <c r="I16" s="172" t="n">
        <v>1.071</v>
      </c>
      <c r="J16" s="172" t="n">
        <v>1.071</v>
      </c>
      <c r="K16" s="172" t="n">
        <v>1.071</v>
      </c>
      <c r="L16" s="172" t="n">
        <v>1.099</v>
      </c>
      <c r="M16" s="172" t="n">
        <v>1.135</v>
      </c>
      <c r="N16" s="172" t="n">
        <v>1.157</v>
      </c>
      <c r="O16" s="172" t="n">
        <v>1.173</v>
      </c>
      <c r="P16" s="172" t="n">
        <v>1.184</v>
      </c>
      <c r="Q16" s="172" t="n">
        <v>1.196</v>
      </c>
      <c r="R16" s="172" t="n">
        <v>1.209</v>
      </c>
      <c r="S16" s="172" t="n">
        <v>1.225</v>
      </c>
      <c r="T16" s="172" t="n">
        <v>1.248</v>
      </c>
    </row>
    <row r="17" ht="15" customHeight="1" s="92">
      <c r="A17" s="185" t="n">
        <v>0.5</v>
      </c>
      <c r="B17" s="185" t="n">
        <v>1</v>
      </c>
      <c r="C17" s="185" t="n">
        <v>1.082</v>
      </c>
      <c r="D17" s="185" t="n">
        <v>1.085</v>
      </c>
      <c r="E17" s="185" t="n">
        <v>1.087</v>
      </c>
      <c r="F17" s="185" t="n">
        <v>1.089</v>
      </c>
      <c r="G17" s="185" t="n">
        <v>1.091</v>
      </c>
      <c r="H17" s="185" t="n">
        <v>1.096</v>
      </c>
      <c r="I17" s="185" t="n">
        <v>1.096</v>
      </c>
      <c r="J17" s="185" t="n">
        <v>1.095</v>
      </c>
      <c r="K17" s="185" t="n">
        <v>1.095</v>
      </c>
      <c r="L17" s="185" t="n">
        <v>1.126</v>
      </c>
      <c r="M17" s="185" t="n">
        <v>1.164</v>
      </c>
      <c r="N17" s="185" t="n">
        <v>1.187</v>
      </c>
      <c r="O17" s="185" t="n">
        <v>1.203</v>
      </c>
      <c r="P17" s="185" t="n">
        <v>1.215</v>
      </c>
      <c r="Q17" s="185" t="n">
        <v>1.229</v>
      </c>
      <c r="R17" s="185" t="n">
        <v>1.246</v>
      </c>
      <c r="S17" s="185" t="n">
        <v>1.266</v>
      </c>
      <c r="T17" s="185" t="n">
        <v>1.292</v>
      </c>
    </row>
    <row r="18" ht="15" customHeight="1" s="92">
      <c r="A18" s="172" t="n">
        <v>0.6</v>
      </c>
      <c r="B18" s="172" t="n">
        <v>1</v>
      </c>
      <c r="C18" s="172" t="n">
        <v>1.126</v>
      </c>
      <c r="D18" s="172" t="n">
        <v>1.128</v>
      </c>
      <c r="E18" s="172" t="n">
        <v>1.129</v>
      </c>
      <c r="F18" s="172" t="n">
        <v>1.13</v>
      </c>
      <c r="G18" s="172" t="n">
        <v>1.131</v>
      </c>
      <c r="H18" s="172" t="n">
        <v>1.131</v>
      </c>
      <c r="I18" s="172" t="n">
        <v>1.129</v>
      </c>
      <c r="J18" s="172" t="n">
        <v>1.128</v>
      </c>
      <c r="K18" s="172" t="n">
        <v>1.129</v>
      </c>
      <c r="L18" s="172" t="n">
        <v>1.161</v>
      </c>
      <c r="M18" s="172" t="n">
        <v>1.196</v>
      </c>
      <c r="N18" s="172" t="n">
        <v>1.218</v>
      </c>
      <c r="O18" s="172" t="n">
        <v>1.234</v>
      </c>
      <c r="P18" s="172" t="n">
        <v>1.248</v>
      </c>
      <c r="Q18" s="172" t="n">
        <v>1.262</v>
      </c>
      <c r="R18" s="172" t="n">
        <v>1.284</v>
      </c>
      <c r="S18" s="172" t="n">
        <v>1.311</v>
      </c>
      <c r="T18" s="172" t="n">
        <v>1.337</v>
      </c>
    </row>
    <row r="19" ht="15" customHeight="1" s="92">
      <c r="A19" s="185" t="n">
        <v>0.7</v>
      </c>
      <c r="B19" s="185" t="n">
        <v>1</v>
      </c>
      <c r="C19" s="185" t="n">
        <v>1.176</v>
      </c>
      <c r="D19" s="185" t="n">
        <v>1.175</v>
      </c>
      <c r="E19" s="185" t="n">
        <v>1.175</v>
      </c>
      <c r="F19" s="185" t="n">
        <v>1.175</v>
      </c>
      <c r="G19" s="185" t="n">
        <v>1.174</v>
      </c>
      <c r="H19" s="185" t="n">
        <v>1.171</v>
      </c>
      <c r="I19" s="185" t="n">
        <v>1.169</v>
      </c>
      <c r="J19" s="185" t="n">
        <v>1.168</v>
      </c>
      <c r="K19" s="185" t="n">
        <v>1.169</v>
      </c>
      <c r="L19" s="185" t="n">
        <v>1.195</v>
      </c>
      <c r="M19" s="185" t="n">
        <v>1.224</v>
      </c>
      <c r="N19" s="185" t="n">
        <v>1.242</v>
      </c>
      <c r="O19" s="185" t="n">
        <v>1.256</v>
      </c>
      <c r="P19" s="185" t="n">
        <v>1.269</v>
      </c>
      <c r="Q19" s="185" t="n">
        <v>1.288</v>
      </c>
      <c r="R19" s="185" t="n">
        <v>1.314</v>
      </c>
      <c r="S19" s="185" t="n">
        <v>1.343</v>
      </c>
      <c r="T19" s="185" t="n">
        <v>1.365</v>
      </c>
    </row>
    <row r="20" ht="15" customHeight="1" s="92">
      <c r="A20" s="172" t="n">
        <v>0.8</v>
      </c>
      <c r="B20" s="172" t="n">
        <v>1</v>
      </c>
      <c r="C20" s="172" t="n">
        <v>1.215</v>
      </c>
      <c r="D20" s="172" t="n">
        <v>1.214</v>
      </c>
      <c r="E20" s="172" t="n">
        <v>1.212</v>
      </c>
      <c r="F20" s="172" t="n">
        <v>1.211</v>
      </c>
      <c r="G20" s="172" t="n">
        <v>1.21</v>
      </c>
      <c r="H20" s="172" t="n">
        <v>1.204</v>
      </c>
      <c r="I20" s="172" t="n">
        <v>1.2</v>
      </c>
      <c r="J20" s="172" t="n">
        <v>1.198</v>
      </c>
      <c r="K20" s="172" t="n">
        <v>1.196</v>
      </c>
      <c r="L20" s="172" t="n">
        <v>1.21</v>
      </c>
      <c r="M20" s="172" t="n">
        <v>1.228</v>
      </c>
      <c r="N20" s="172" t="n">
        <v>1.241</v>
      </c>
      <c r="O20" s="172" t="n">
        <v>1.252</v>
      </c>
      <c r="P20" s="172" t="n">
        <v>1.267</v>
      </c>
      <c r="Q20" s="172" t="n">
        <v>1.291</v>
      </c>
      <c r="R20" s="172" t="n">
        <v>1.316</v>
      </c>
      <c r="S20" s="172" t="n">
        <v>1.341</v>
      </c>
      <c r="T20" s="172" t="n">
        <v>1.355</v>
      </c>
    </row>
    <row r="21" ht="15" customHeight="1" s="92">
      <c r="A21" s="185" t="n">
        <v>0.9</v>
      </c>
      <c r="B21" s="185" t="n">
        <v>1</v>
      </c>
      <c r="C21" s="185" t="n">
        <v>1.215</v>
      </c>
      <c r="D21" s="185" t="n">
        <v>1.212</v>
      </c>
      <c r="E21" s="185" t="n">
        <v>1.21</v>
      </c>
      <c r="F21" s="185" t="n">
        <v>1.208</v>
      </c>
      <c r="G21" s="185" t="n">
        <v>1.206</v>
      </c>
      <c r="H21" s="185" t="n">
        <v>1.198</v>
      </c>
      <c r="I21" s="185" t="n">
        <v>1.191</v>
      </c>
      <c r="J21" s="185" t="n">
        <v>1.185</v>
      </c>
      <c r="K21" s="185" t="n">
        <v>1.18</v>
      </c>
      <c r="L21" s="185" t="n">
        <v>1.178</v>
      </c>
      <c r="M21" s="185" t="n">
        <v>1.184</v>
      </c>
      <c r="N21" s="185" t="n">
        <v>1.19</v>
      </c>
      <c r="O21" s="185" t="n">
        <v>1.199</v>
      </c>
      <c r="P21" s="185" t="n">
        <v>1.218</v>
      </c>
      <c r="Q21" s="185" t="n">
        <v>1.24</v>
      </c>
      <c r="R21" s="185" t="n">
        <v>1.259</v>
      </c>
      <c r="S21" s="185" t="n">
        <v>1.271</v>
      </c>
      <c r="T21" s="185" t="n">
        <v>1.272</v>
      </c>
    </row>
    <row r="22" ht="15" customHeight="1" s="92">
      <c r="A22" s="172" t="n">
        <v>1</v>
      </c>
      <c r="B22" s="172" t="n">
        <v>1</v>
      </c>
      <c r="C22" s="172" t="n">
        <v>1.133</v>
      </c>
      <c r="D22" s="172" t="n">
        <v>1.13</v>
      </c>
      <c r="E22" s="172" t="n">
        <v>1.128</v>
      </c>
      <c r="F22" s="172" t="n">
        <v>1.125</v>
      </c>
      <c r="G22" s="172" t="n">
        <v>1.123</v>
      </c>
      <c r="H22" s="172" t="n">
        <v>1.112</v>
      </c>
      <c r="I22" s="172" t="n">
        <v>1.102</v>
      </c>
      <c r="J22" s="172" t="n">
        <v>1.094</v>
      </c>
      <c r="K22" s="172" t="n">
        <v>1.087</v>
      </c>
      <c r="L22" s="172" t="n">
        <v>1.07</v>
      </c>
      <c r="M22" s="172" t="n">
        <v>1.067</v>
      </c>
      <c r="N22" s="172" t="n">
        <v>1.069</v>
      </c>
      <c r="O22" s="172" t="n">
        <v>1.08</v>
      </c>
      <c r="P22" s="172" t="n">
        <v>1.098</v>
      </c>
      <c r="Q22" s="172" t="n">
        <v>1.105</v>
      </c>
      <c r="R22" s="172" t="n">
        <v>1.104</v>
      </c>
      <c r="S22" s="172" t="n">
        <v>1.094</v>
      </c>
      <c r="T22" s="172" t="n">
        <v>1.073</v>
      </c>
    </row>
    <row r="23" ht="15" customHeight="1" s="92">
      <c r="A23" s="185" t="n">
        <v>1.1</v>
      </c>
      <c r="B23" s="185" t="n">
        <v>1</v>
      </c>
      <c r="C23" s="185" t="n">
        <v>0.951</v>
      </c>
      <c r="D23" s="185" t="n">
        <v>0.948</v>
      </c>
      <c r="E23" s="185" t="n">
        <v>0.946</v>
      </c>
      <c r="F23" s="185" t="n">
        <v>0.9429999999999999</v>
      </c>
      <c r="G23" s="185" t="n">
        <v>0.9409999999999999</v>
      </c>
      <c r="H23" s="185" t="n">
        <v>0.93</v>
      </c>
      <c r="I23" s="185" t="n">
        <v>0.921</v>
      </c>
      <c r="J23" s="185" t="n">
        <v>0.912</v>
      </c>
      <c r="K23" s="185" t="n">
        <v>0.905</v>
      </c>
      <c r="L23" s="185" t="n">
        <v>0.884</v>
      </c>
      <c r="M23" s="185" t="n">
        <v>0.877</v>
      </c>
      <c r="N23" s="185" t="n">
        <v>0.882</v>
      </c>
      <c r="O23" s="185" t="n">
        <v>0.887</v>
      </c>
      <c r="P23" s="185" t="n">
        <v>0.879</v>
      </c>
      <c r="Q23" s="185" t="n">
        <v>0.861</v>
      </c>
      <c r="R23" s="185" t="n">
        <v>0.842</v>
      </c>
      <c r="S23" s="185" t="n">
        <v>0.82</v>
      </c>
      <c r="T23" s="185" t="n">
        <v>0.801</v>
      </c>
    </row>
    <row r="24" ht="15" customHeight="1" s="92">
      <c r="A24" s="172" t="n">
        <v>1.2</v>
      </c>
      <c r="B24" s="172" t="n">
        <v>1</v>
      </c>
      <c r="C24" s="172" t="n">
        <v>0.71</v>
      </c>
      <c r="D24" s="172" t="n">
        <v>0.708</v>
      </c>
      <c r="E24" s="172" t="n">
        <v>0.707</v>
      </c>
      <c r="F24" s="172" t="n">
        <v>0.705</v>
      </c>
      <c r="G24" s="172" t="n">
        <v>0.703</v>
      </c>
      <c r="H24" s="172" t="n">
        <v>0.695</v>
      </c>
      <c r="I24" s="172" t="n">
        <v>0.6879999999999999</v>
      </c>
      <c r="J24" s="172" t="n">
        <v>0.6820000000000001</v>
      </c>
      <c r="K24" s="172" t="n">
        <v>0.677</v>
      </c>
      <c r="L24" s="172" t="n">
        <v>0.661</v>
      </c>
      <c r="M24" s="172" t="n">
        <v>0.658</v>
      </c>
      <c r="N24" s="172" t="n">
        <v>0.649</v>
      </c>
      <c r="O24" s="172" t="n">
        <v>0.633</v>
      </c>
      <c r="P24" s="172" t="n">
        <v>0.613</v>
      </c>
      <c r="Q24" s="172" t="n">
        <v>0.597</v>
      </c>
      <c r="R24" s="172" t="n">
        <v>0.583</v>
      </c>
      <c r="S24" s="172" t="n">
        <v>0.571</v>
      </c>
      <c r="T24" s="172" t="n">
        <v>0.5610000000000001</v>
      </c>
    </row>
    <row r="25" ht="15" customHeight="1" s="92">
      <c r="A25" s="185" t="n">
        <v>1.3</v>
      </c>
      <c r="B25" s="185" t="n">
        <v>1</v>
      </c>
      <c r="C25" s="185" t="n">
        <v>0.498</v>
      </c>
      <c r="D25" s="185" t="n">
        <v>0.497</v>
      </c>
      <c r="E25" s="185" t="n">
        <v>0.496</v>
      </c>
      <c r="F25" s="185" t="n">
        <v>0.495</v>
      </c>
      <c r="G25" s="185" t="n">
        <v>0.494</v>
      </c>
      <c r="H25" s="185" t="n">
        <v>0.49</v>
      </c>
      <c r="I25" s="185" t="n">
        <v>0.486</v>
      </c>
      <c r="J25" s="185" t="n">
        <v>0.483</v>
      </c>
      <c r="K25" s="185" t="n">
        <v>0.48</v>
      </c>
      <c r="L25" s="185" t="n">
        <v>0.471</v>
      </c>
      <c r="M25" s="185" t="n">
        <v>0.461</v>
      </c>
      <c r="N25" s="185" t="n">
        <v>0.449</v>
      </c>
      <c r="O25" s="185" t="n">
        <v>0.439</v>
      </c>
      <c r="P25" s="185" t="n">
        <v>0.426</v>
      </c>
      <c r="Q25" s="185" t="n">
        <v>0.427</v>
      </c>
      <c r="R25" s="185" t="n">
        <v>0.42</v>
      </c>
      <c r="S25" s="185" t="n">
        <v>0.415</v>
      </c>
      <c r="T25" s="185" t="n">
        <v>0.413</v>
      </c>
    </row>
    <row r="26" ht="15" customHeight="1" s="92">
      <c r="A26" s="172" t="n">
        <v>1.4</v>
      </c>
      <c r="B26" s="172" t="n">
        <v>1</v>
      </c>
      <c r="C26" s="172" t="n">
        <v>0.376</v>
      </c>
      <c r="D26" s="172" t="n">
        <v>0.375</v>
      </c>
      <c r="E26" s="172" t="n">
        <v>0.375</v>
      </c>
      <c r="F26" s="172" t="n">
        <v>0.375</v>
      </c>
      <c r="G26" s="172" t="n">
        <v>0.374</v>
      </c>
      <c r="H26" s="172" t="n">
        <v>0.373</v>
      </c>
      <c r="I26" s="172" t="n">
        <v>0.371</v>
      </c>
      <c r="J26" s="172" t="n">
        <v>0.37</v>
      </c>
      <c r="K26" s="172" t="n">
        <v>0.368</v>
      </c>
      <c r="L26" s="172" t="n">
        <v>0.363</v>
      </c>
      <c r="M26" s="172" t="n">
        <v>0.361</v>
      </c>
      <c r="N26" s="172" t="n">
        <v>0.359</v>
      </c>
      <c r="O26" s="172" t="n">
        <v>0.358</v>
      </c>
      <c r="P26" s="172" t="n">
        <v>0.357</v>
      </c>
      <c r="Q26" s="172" t="n">
        <v>0.355</v>
      </c>
      <c r="R26" s="172" t="n">
        <v>0.354</v>
      </c>
      <c r="S26" s="172" t="n">
        <v>0.351</v>
      </c>
      <c r="T26" s="172" t="n">
        <v>0.351</v>
      </c>
    </row>
    <row r="27" ht="15" customHeight="1" s="92">
      <c r="A27" s="185" t="n">
        <v>1.5</v>
      </c>
      <c r="B27" s="185" t="n">
        <v>1</v>
      </c>
      <c r="C27" s="185" t="n">
        <v>0.334</v>
      </c>
      <c r="D27" s="185" t="n">
        <v>0.334</v>
      </c>
      <c r="E27" s="185" t="n">
        <v>0.333</v>
      </c>
      <c r="F27" s="185" t="n">
        <v>0.333</v>
      </c>
      <c r="G27" s="185" t="n">
        <v>0.333</v>
      </c>
      <c r="H27" s="185" t="n">
        <v>0.332</v>
      </c>
      <c r="I27" s="185" t="n">
        <v>0.331</v>
      </c>
      <c r="J27" s="185" t="n">
        <v>0.331</v>
      </c>
      <c r="K27" s="185" t="n">
        <v>0.33</v>
      </c>
      <c r="L27" s="185" t="n">
        <v>0.33</v>
      </c>
      <c r="M27" s="185" t="n">
        <v>0.331</v>
      </c>
      <c r="N27" s="185" t="n">
        <v>0.332</v>
      </c>
      <c r="O27" s="185" t="n">
        <v>0.333</v>
      </c>
      <c r="P27" s="185" t="n">
        <v>0.332</v>
      </c>
      <c r="Q27" s="185" t="n">
        <v>0.333</v>
      </c>
      <c r="R27" s="185" t="n">
        <v>0.331</v>
      </c>
      <c r="S27" s="185" t="n">
        <v>0.333</v>
      </c>
      <c r="T27" s="185" t="n">
        <v>0.331</v>
      </c>
    </row>
    <row r="28" ht="15" customHeight="1" s="92">
      <c r="A28" s="172" t="n">
        <v>1.6</v>
      </c>
      <c r="B28" s="172" t="n">
        <v>1</v>
      </c>
      <c r="C28" s="172" t="n">
        <v>0.32</v>
      </c>
      <c r="D28" s="172" t="n">
        <v>0.319</v>
      </c>
      <c r="E28" s="172" t="n">
        <v>0.319</v>
      </c>
      <c r="F28" s="172" t="n">
        <v>0.319</v>
      </c>
      <c r="G28" s="172" t="n">
        <v>0.319</v>
      </c>
      <c r="H28" s="172" t="n">
        <v>0.318</v>
      </c>
      <c r="I28" s="172" t="n">
        <v>0.318</v>
      </c>
      <c r="J28" s="172" t="n">
        <v>0.317</v>
      </c>
      <c r="K28" s="172" t="n">
        <v>0.317</v>
      </c>
      <c r="L28" s="172" t="n">
        <v>0.317</v>
      </c>
      <c r="M28" s="172" t="n">
        <v>0.319</v>
      </c>
      <c r="N28" s="172" t="n">
        <v>0.32</v>
      </c>
      <c r="O28" s="172" t="n">
        <v>0.321</v>
      </c>
      <c r="P28" s="172" t="n">
        <v>0.32</v>
      </c>
      <c r="Q28" s="172" t="n">
        <v>0.32</v>
      </c>
      <c r="R28" s="172" t="n">
        <v>0.322</v>
      </c>
      <c r="S28" s="172" t="n">
        <v>0.319</v>
      </c>
      <c r="T28" s="172" t="n">
        <v>0.319</v>
      </c>
    </row>
    <row r="29" ht="15" customHeight="1" s="92">
      <c r="A29" s="185" t="n">
        <v>1.7</v>
      </c>
      <c r="B29" s="185" t="n">
        <v>1</v>
      </c>
      <c r="C29" s="185" t="n">
        <v>0.308</v>
      </c>
      <c r="D29" s="185" t="n">
        <v>0.308</v>
      </c>
      <c r="E29" s="185" t="n">
        <v>0.308</v>
      </c>
      <c r="F29" s="185" t="n">
        <v>0.308</v>
      </c>
      <c r="G29" s="185" t="n">
        <v>0.308</v>
      </c>
      <c r="H29" s="185" t="n">
        <v>0.307</v>
      </c>
      <c r="I29" s="185" t="n">
        <v>0.307</v>
      </c>
      <c r="J29" s="185" t="n">
        <v>0.306</v>
      </c>
      <c r="K29" s="185" t="n">
        <v>0.306</v>
      </c>
      <c r="L29" s="185" t="n">
        <v>0.306</v>
      </c>
      <c r="M29" s="185" t="n">
        <v>0.307</v>
      </c>
      <c r="N29" s="185" t="n">
        <v>0.308</v>
      </c>
      <c r="O29" s="185" t="n">
        <v>0.309</v>
      </c>
      <c r="P29" s="185" t="n">
        <v>0.309</v>
      </c>
      <c r="Q29" s="185" t="n">
        <v>0.308</v>
      </c>
      <c r="R29" s="185" t="n">
        <v>0.309</v>
      </c>
      <c r="S29" s="185" t="n">
        <v>0.308</v>
      </c>
      <c r="T29" s="185" t="n">
        <v>0.308</v>
      </c>
    </row>
    <row r="30" ht="15" customHeight="1" s="92">
      <c r="A30" s="172" t="n">
        <v>1.8</v>
      </c>
      <c r="B30" s="172" t="n">
        <v>1</v>
      </c>
      <c r="C30" s="172" t="n">
        <v>0.296</v>
      </c>
      <c r="D30" s="172" t="n">
        <v>0.296</v>
      </c>
      <c r="E30" s="172" t="n">
        <v>0.296</v>
      </c>
      <c r="F30" s="172" t="n">
        <v>0.296</v>
      </c>
      <c r="G30" s="172" t="n">
        <v>0.296</v>
      </c>
      <c r="H30" s="172" t="n">
        <v>0.295</v>
      </c>
      <c r="I30" s="172" t="n">
        <v>0.295</v>
      </c>
      <c r="J30" s="172" t="n">
        <v>0.294</v>
      </c>
      <c r="K30" s="172" t="n">
        <v>0.294</v>
      </c>
      <c r="L30" s="172" t="n">
        <v>0.294</v>
      </c>
      <c r="M30" s="172" t="n">
        <v>0.295</v>
      </c>
      <c r="N30" s="172" t="n">
        <v>0.296</v>
      </c>
      <c r="O30" s="172" t="n">
        <v>0.296</v>
      </c>
      <c r="P30" s="172" t="n">
        <v>0.295</v>
      </c>
      <c r="Q30" s="172" t="n">
        <v>0.297</v>
      </c>
      <c r="R30" s="172" t="n">
        <v>0.295</v>
      </c>
      <c r="S30" s="172" t="n">
        <v>0.297</v>
      </c>
      <c r="T30" s="172" t="n">
        <v>0.292</v>
      </c>
    </row>
    <row r="31" ht="15" customHeight="1" s="92">
      <c r="A31" s="185" t="n">
        <v>1.9</v>
      </c>
      <c r="B31" s="185" t="n">
        <v>1</v>
      </c>
      <c r="C31" s="185" t="n">
        <v>0.283</v>
      </c>
      <c r="D31" s="185" t="n">
        <v>0.283</v>
      </c>
      <c r="E31" s="185" t="n">
        <v>0.283</v>
      </c>
      <c r="F31" s="185" t="n">
        <v>0.283</v>
      </c>
      <c r="G31" s="185" t="n">
        <v>0.282</v>
      </c>
      <c r="H31" s="185" t="n">
        <v>0.282</v>
      </c>
      <c r="I31" s="185" t="n">
        <v>0.282</v>
      </c>
      <c r="J31" s="185" t="n">
        <v>0.281</v>
      </c>
      <c r="K31" s="185" t="n">
        <v>0.281</v>
      </c>
      <c r="L31" s="185" t="n">
        <v>0.281</v>
      </c>
      <c r="M31" s="185" t="n">
        <v>0.281</v>
      </c>
      <c r="N31" s="185" t="n">
        <v>0.282</v>
      </c>
      <c r="O31" s="185" t="n">
        <v>0.282</v>
      </c>
      <c r="P31" s="185" t="n">
        <v>0.284</v>
      </c>
      <c r="Q31" s="185" t="n">
        <v>0.283</v>
      </c>
      <c r="R31" s="185" t="n">
        <v>0.281</v>
      </c>
      <c r="S31" s="185" t="n">
        <v>0.28</v>
      </c>
      <c r="T31" s="185" t="n">
        <v>0.28</v>
      </c>
    </row>
    <row r="32" ht="15" customHeight="1" s="92">
      <c r="A32" s="172" t="n">
        <v>2</v>
      </c>
      <c r="B32" s="172" t="n">
        <v>1</v>
      </c>
      <c r="C32" s="172" t="n">
        <v>0.268</v>
      </c>
      <c r="D32" s="172" t="n">
        <v>0.268</v>
      </c>
      <c r="E32" s="172" t="n">
        <v>0.268</v>
      </c>
      <c r="F32" s="172" t="n">
        <v>0.268</v>
      </c>
      <c r="G32" s="172" t="n">
        <v>0.268</v>
      </c>
      <c r="H32" s="172" t="n">
        <v>0.267</v>
      </c>
      <c r="I32" s="172" t="n">
        <v>0.267</v>
      </c>
      <c r="J32" s="172" t="n">
        <v>0.267</v>
      </c>
      <c r="K32" s="172" t="n">
        <v>0.266</v>
      </c>
      <c r="L32" s="172" t="n">
        <v>0.266</v>
      </c>
      <c r="M32" s="172" t="n">
        <v>0.266</v>
      </c>
      <c r="N32" s="172" t="n">
        <v>0.266</v>
      </c>
      <c r="O32" s="172" t="n">
        <v>0.266</v>
      </c>
      <c r="P32" s="172" t="n">
        <v>0.262</v>
      </c>
      <c r="Q32" s="172" t="n">
        <v>0.261</v>
      </c>
      <c r="R32" s="172" t="n">
        <v>0.256</v>
      </c>
      <c r="S32" s="172" t="n">
        <v>0.263</v>
      </c>
      <c r="T32" s="172" t="n">
        <v>0.266</v>
      </c>
    </row>
    <row r="34" ht="15" customHeight="1" s="92">
      <c r="A34" s="115" t="inlineStr">
        <is>
          <t>API 579 Table 9.3 plasticity interaction factor xi(Lr, X) - dimensionless; last column is X &gt;= 5, last row Lr &gt;= 2</t>
        </is>
      </c>
    </row>
  </sheetData>
  <autoFilter ref="A1:T32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1" min="1" max="3"/>
    <col width="15" customWidth="1" style="91" min="4" max="4"/>
  </cols>
  <sheetData>
    <row r="1" ht="30" customHeight="1" s="92">
      <c r="A1" s="167" t="inlineStr">
        <is>
          <t>category</t>
        </is>
      </c>
      <c r="B1" s="167" t="inlineStr">
        <is>
          <t>Lr_max</t>
        </is>
      </c>
      <c r="C1" s="167" t="inlineStr">
        <is>
          <t>basis</t>
        </is>
      </c>
      <c r="D1" s="167" t="inlineStr">
        <is>
          <t>description</t>
        </is>
      </c>
    </row>
    <row r="2" ht="15" customHeight="1" s="92">
      <c r="A2" s="169" t="inlineStr">
        <is>
          <t>YIELD_PLATEAU</t>
        </is>
      </c>
      <c r="B2" s="172" t="n">
        <v>1</v>
      </c>
      <c r="C2" s="169" t="inlineStr">
        <is>
          <t>Fig 9.19 Note 2(a)</t>
        </is>
      </c>
      <c r="D2" s="169" t="inlineStr">
        <is>
          <t>Materials with yield point plateau (strain hardening exponent &gt; 15)</t>
        </is>
      </c>
    </row>
    <row r="3" ht="15" customHeight="1" s="92">
      <c r="A3" s="177" t="inlineStr">
        <is>
          <t>ASTM_A508</t>
        </is>
      </c>
      <c r="B3" s="185" t="n">
        <v>1.15</v>
      </c>
      <c r="C3" s="177" t="inlineStr">
        <is>
          <t>Fig 9.19 Note 2(b)</t>
        </is>
      </c>
      <c r="D3" s="177" t="inlineStr">
        <is>
          <t>ASTM A508</t>
        </is>
      </c>
    </row>
    <row r="4" ht="15" customHeight="1" s="92">
      <c r="A4" s="169" t="inlineStr">
        <is>
          <t>C_MN_STEEL</t>
        </is>
      </c>
      <c r="B4" s="172" t="n">
        <v>1.25</v>
      </c>
      <c r="C4" s="169" t="inlineStr">
        <is>
          <t>Fig 9.19 Note 2(c)</t>
        </is>
      </c>
      <c r="D4" s="169" t="inlineStr">
        <is>
          <t>C-Mn steels</t>
        </is>
      </c>
    </row>
    <row r="5" ht="15" customHeight="1" s="92">
      <c r="A5" s="177" t="inlineStr">
        <is>
          <t>AUSTENITIC_SS</t>
        </is>
      </c>
      <c r="B5" s="185" t="n">
        <v>1.8</v>
      </c>
      <c r="C5" s="177" t="inlineStr">
        <is>
          <t>Fig 9.19 Note 2(d)</t>
        </is>
      </c>
      <c r="D5" s="177" t="inlineStr">
        <is>
          <t>Austenitic stainless steels</t>
        </is>
      </c>
    </row>
    <row r="6" ht="15" customHeight="1" s="92">
      <c r="A6" s="169" t="inlineStr">
        <is>
          <t>FLOW_STRESS</t>
        </is>
      </c>
      <c r="B6" s="169" t="inlineStr">
        <is>
          <t>SIGMA_F/SIGMA_YS</t>
        </is>
      </c>
      <c r="C6" s="169" t="inlineStr">
        <is>
          <t>Fig 9.19 Note 2(e)</t>
        </is>
      </c>
      <c r="D6" s="169" t="inlineStr">
        <is>
          <t>Other materials: flow stress (Sy+Su)/2 divided by Sy at assessment temperature</t>
        </is>
      </c>
    </row>
    <row r="7" ht="15" customHeight="1" s="92">
      <c r="A7" s="177" t="inlineStr">
        <is>
          <t>UNKNOWN</t>
        </is>
      </c>
      <c r="B7" s="185" t="n">
        <v>1</v>
      </c>
      <c r="C7" s="177" t="inlineStr">
        <is>
          <t>Fig 9.19 Note 2(f)</t>
        </is>
      </c>
      <c r="D7" s="177" t="inlineStr">
        <is>
          <t>Strain hardening characteristics unknown</t>
        </is>
      </c>
    </row>
    <row r="9" ht="15" customHeight="1" s="92">
      <c r="A9" s="115" t="inlineStr">
        <is>
          <t>API 579 Figure 9.19 Note 2</t>
        </is>
      </c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1" min="1" max="1"/>
    <col width="18" customWidth="1" style="91" min="2" max="2"/>
    <col width="12" customWidth="1" style="91" min="3" max="3"/>
    <col width="13" customWidth="1" style="91" min="4" max="4"/>
    <col width="18" customWidth="1" style="91" min="5" max="5"/>
    <col width="12" customWidth="1" style="91" min="6" max="6"/>
  </cols>
  <sheetData>
    <row r="1" ht="30" customHeight="1" s="92">
      <c r="A1" s="167" t="inlineStr">
        <is>
          <t>method_id</t>
        </is>
      </c>
      <c r="B1" s="167" t="inlineStr">
        <is>
          <t>weld_condition</t>
        </is>
      </c>
      <c r="C1" s="167" t="inlineStr">
        <is>
          <t>status</t>
        </is>
      </c>
      <c r="D1" s="167" t="inlineStr">
        <is>
          <t>equations</t>
        </is>
      </c>
      <c r="E1" s="167" t="inlineStr">
        <is>
          <t>KPTC treatment</t>
        </is>
      </c>
      <c r="F1" s="167" t="inlineStr">
        <is>
          <t>notes</t>
        </is>
      </c>
    </row>
    <row r="2" ht="15" customHeight="1" s="92">
      <c r="A2" s="169" t="inlineStr">
        <is>
          <t>NONE</t>
        </is>
      </c>
      <c r="B2" s="169" t="inlineStr">
        <is>
          <t>-</t>
        </is>
      </c>
      <c r="C2" s="169" t="inlineStr">
        <is>
          <t>ACTIVE</t>
        </is>
      </c>
      <c r="D2" s="169" t="inlineStr">
        <is>
          <t>-</t>
        </is>
      </c>
      <c r="E2" s="169" t="inlineStr">
        <is>
          <t>Rm = Rb = 0</t>
        </is>
      </c>
      <c r="F2" s="169" t="inlineStr">
        <is>
          <t>No residual stress</t>
        </is>
      </c>
    </row>
    <row r="3" ht="15" customHeight="1" s="92">
      <c r="A3" s="177" t="inlineStr">
        <is>
          <t>USER_DEFINED</t>
        </is>
      </c>
      <c r="B3" s="177" t="inlineStr">
        <is>
          <t>-</t>
        </is>
      </c>
      <c r="C3" s="177" t="inlineStr">
        <is>
          <t>ACTIVE</t>
        </is>
      </c>
      <c r="D3" s="177" t="inlineStr">
        <is>
          <t>Project data</t>
        </is>
      </c>
      <c r="E3" s="177" t="inlineStr">
        <is>
          <t>Uses entered Rm/Rb</t>
        </is>
      </c>
      <c r="F3" s="177" t="inlineStr">
        <is>
          <t>Legacy/project residual membrane + bending</t>
        </is>
      </c>
    </row>
    <row r="4" ht="15" customHeight="1" s="92">
      <c r="A4" s="169" t="inlineStr">
        <is>
          <t>ANNEX_9D</t>
        </is>
      </c>
      <c r="B4" s="169" t="inlineStr">
        <is>
          <t>PWHT_UNIFORM</t>
        </is>
      </c>
      <c r="C4" s="169" t="inlineStr">
        <is>
          <t>ACTIVE</t>
        </is>
      </c>
      <c r="D4" s="169" t="inlineStr">
        <is>
          <t>9D.1, 9D.3 (perpendicular) / 9D.4 (parallel)</t>
        </is>
      </c>
      <c r="E4" s="169" t="inlineStr">
        <is>
          <t>Rm = uniform stress; Rb = 0 (exact)</t>
        </is>
      </c>
      <c r="F4" s="169" t="inlineStr">
        <is>
          <t>Code-compliant uniform PWHT (9D.4.1)</t>
        </is>
      </c>
    </row>
    <row r="5" ht="15" customHeight="1" s="92">
      <c r="A5" s="177" t="inlineStr">
        <is>
          <t>ANNEX_9D</t>
        </is>
      </c>
      <c r="B5" s="177" t="inlineStr">
        <is>
          <t>AS_WELDED (LONGITUDINAL_SEAM_PERPENDICULAR)</t>
        </is>
      </c>
      <c r="C5" s="177" t="inlineStr">
        <is>
          <t>ACTIVE - CONSERVATIVE ENVELOPE</t>
        </is>
      </c>
      <c r="D5" s="177" t="inlineStr">
        <is>
          <t>9D.22-9D.24</t>
        </is>
      </c>
      <c r="E5" s="177" t="inlineStr">
        <is>
          <t>Rm = peak of profile (uniform bound); Rb = 0</t>
        </is>
      </c>
      <c r="F5" s="177" t="inlineStr">
        <is>
          <t>Linearized 9B.1/9B.2 values reported for information only (Annex 9G.2.2)</t>
        </is>
      </c>
    </row>
    <row r="6" ht="15" customHeight="1" s="92">
      <c r="A6" s="169" t="inlineStr">
        <is>
          <t>ANNEX_9D</t>
        </is>
      </c>
      <c r="B6" s="169" t="inlineStr">
        <is>
          <t>AS_WELDED (TEE_MAIN_PLATE_PERPENDICULAR)</t>
        </is>
      </c>
      <c r="C6" s="169" t="inlineStr">
        <is>
          <t>ACTIVE - CONSERVATIVE ENVELOPE</t>
        </is>
      </c>
      <c r="D6" s="169" t="inlineStr">
        <is>
          <t>9D.49-9D.57</t>
        </is>
      </c>
      <c r="E6" s="169" t="inlineStr">
        <is>
          <t>Rm = peak of profile (uniform bound); Rb = 0</t>
        </is>
      </c>
      <c r="F6" s="169" t="inlineStr">
        <is>
          <t>Linearized 9B.1/9B.2 values reported for information only</t>
        </is>
      </c>
    </row>
    <row r="7" ht="15" customHeight="1" s="92">
      <c r="A7" s="177" t="inlineStr">
        <is>
          <t>ANNEX_9D</t>
        </is>
      </c>
      <c r="B7" s="177" t="inlineStr">
        <is>
          <t>UNIFORM_YIELD</t>
        </is>
      </c>
      <c r="C7" s="177" t="inlineStr">
        <is>
          <t>ACTIVE</t>
        </is>
      </c>
      <c r="D7" s="177" t="inlineStr">
        <is>
          <t>9D.1</t>
        </is>
      </c>
      <c r="E7" s="177" t="inlineStr">
        <is>
          <t>Rm = sigma_ys_r; Rb = 0</t>
        </is>
      </c>
      <c r="F7" s="177" t="inlineStr">
        <is>
          <t>Simple uniform yield-magnitude assumption (user choice)</t>
        </is>
      </c>
    </row>
    <row r="8" ht="15" customHeight="1" s="92">
      <c r="A8" s="169" t="inlineStr">
        <is>
          <t>PRESSURE_TEST_CREDIT</t>
        </is>
      </c>
      <c r="B8" s="169" t="inlineStr">
        <is>
          <t>-</t>
        </is>
      </c>
      <c r="C8" s="169" t="inlineStr">
        <is>
          <t>GATED</t>
        </is>
      </c>
      <c r="D8" s="169" t="inlineStr">
        <is>
          <t>9D.4.2</t>
        </is>
      </c>
      <c r="E8" s="169" t="inlineStr">
        <is>
          <t>Not applied</t>
        </is>
      </c>
      <c r="F8" s="169" t="inlineStr">
        <is>
          <t>Requires case-specific quantification; not combined with PWHT</t>
        </is>
      </c>
    </row>
    <row r="10" ht="15" customHeight="1" s="92">
      <c r="A10" s="115" t="inlineStr">
        <is>
          <t>Annex 9D residual stress routes available to the KPTC solver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1" min="1" max="2"/>
    <col width="26" customWidth="1" style="91" min="3" max="6"/>
    <col width="12" customWidth="1" style="91" min="7" max="7"/>
    <col width="30" customWidth="1" style="91" min="8" max="8"/>
    <col hidden="1" width="16" customWidth="1" style="91" min="9" max="10"/>
    <col hidden="1" width="17" customWidth="1" style="91" min="11" max="12"/>
    <col hidden="1" width="21" customWidth="1" style="91" min="13" max="13"/>
    <col hidden="1" width="24" customWidth="1" style="91" min="14" max="14"/>
    <col hidden="1" width="18" customWidth="1" style="91" min="15" max="16"/>
  </cols>
  <sheetData>
    <row r="1" ht="30" customHeight="1" s="92">
      <c r="A1" s="167" t="inlineStr">
        <is>
          <t>jr_id</t>
        </is>
      </c>
      <c r="B1" s="167" t="inlineStr">
        <is>
          <t>material</t>
        </is>
      </c>
      <c r="C1" s="167">
        <f>IF(UNIT_SYSTEM="SI","T (°C)","T (°F)")</f>
        <v/>
      </c>
      <c r="D1" s="167">
        <f>IF(UNIT_SYSTEM="SI","thickness (mm)","thickness (in)")</f>
        <v/>
      </c>
      <c r="E1" s="167">
        <f>IF(UNIT_SYSTEM="SI","Ji (kJ/m²)","Ji (in-lb/in²)")</f>
        <v/>
      </c>
      <c r="F1" s="167">
        <f>IF(UNIT_SYSTEM="SI","C_R (kJ/m² per mmⁿ)","C_R (in-lb/in² per inⁿ)")</f>
        <v/>
      </c>
      <c r="G1" s="167" t="inlineStr">
        <is>
          <t>nR</t>
        </is>
      </c>
      <c r="H1" s="167" t="inlineStr">
        <is>
          <t>note</t>
        </is>
      </c>
      <c r="I1" s="168" t="inlineStr">
        <is>
          <t>T_C (source)</t>
        </is>
      </c>
      <c r="J1" s="168" t="inlineStr">
        <is>
          <t>T_F (source)</t>
        </is>
      </c>
      <c r="K1" s="168" t="inlineStr">
        <is>
          <t>t_mm (source)</t>
        </is>
      </c>
      <c r="L1" s="168" t="inlineStr">
        <is>
          <t>t_in (source)</t>
        </is>
      </c>
      <c r="M1" s="168" t="inlineStr">
        <is>
          <t>Ji_kJ_m2 (source)</t>
        </is>
      </c>
      <c r="N1" s="168" t="inlineStr">
        <is>
          <t>Ji_inlb_in2 (source)</t>
        </is>
      </c>
      <c r="O1" s="168" t="inlineStr">
        <is>
          <t>CR_SI (source)</t>
        </is>
      </c>
      <c r="P1" s="168" t="inlineStr">
        <is>
          <t>CR_US (source)</t>
        </is>
      </c>
    </row>
    <row r="2" ht="15" customHeight="1" s="92">
      <c r="A2" s="169" t="inlineStr">
        <is>
          <t>GENERIC_CS-1</t>
        </is>
      </c>
      <c r="B2" s="169" t="inlineStr">
        <is>
          <t>Generic CS-1</t>
        </is>
      </c>
      <c r="C2" s="170">
        <f>IF(UNIT_SYSTEM="SI",IF(I2="","",I2),IF(J2="","",J2))</f>
        <v/>
      </c>
      <c r="D2" s="172">
        <f>IF(UNIT_SYSTEM="SI",IF(K2="","",K2),IF(L2="","",L2))</f>
        <v/>
      </c>
      <c r="E2" s="172">
        <f>IF(UNIT_SYSTEM="SI",IF(M2="","",M2),IF(N2="","",N2))</f>
        <v/>
      </c>
      <c r="F2" s="170">
        <f>IF(UNIT_SYSTEM="SI",IF(O2="","",O2),IF(P2="","",P2))</f>
        <v/>
      </c>
      <c r="G2" s="172" t="n">
        <v>0.277</v>
      </c>
      <c r="H2" s="169" t="inlineStr">
        <is>
          <t>Table 9F.3M / 9F.3: J_R = C_R (da)^nR; SI J kJ/m2, da mm; US J in-lb/in2, da in; typical values - actual data preferred</t>
        </is>
      </c>
      <c r="I2" s="173" t="n">
        <v>288</v>
      </c>
      <c r="J2" s="173" t="n">
        <v>550</v>
      </c>
      <c r="K2" s="174" t="n">
        <v>25</v>
      </c>
      <c r="L2" s="174" t="n">
        <v>1</v>
      </c>
      <c r="M2" s="174" t="n">
        <v>61</v>
      </c>
      <c r="N2" s="173" t="n">
        <v>350</v>
      </c>
      <c r="O2" s="173" t="n">
        <v>129</v>
      </c>
      <c r="P2" s="173" t="n">
        <v>1808</v>
      </c>
    </row>
    <row r="3" ht="15" customHeight="1" s="92">
      <c r="A3" s="177" t="inlineStr">
        <is>
          <t>GENERIC_CS-2</t>
        </is>
      </c>
      <c r="B3" s="177" t="inlineStr">
        <is>
          <t>Generic CS-2</t>
        </is>
      </c>
      <c r="C3" s="178">
        <f>IF(UNIT_SYSTEM="SI",IF(I3="","",I3),IF(J3="","",J3))</f>
        <v/>
      </c>
      <c r="D3" s="185">
        <f>IF(UNIT_SYSTEM="SI",IF(K3="","",K3),IF(L3="","",L3))</f>
        <v/>
      </c>
      <c r="E3" s="178">
        <f>IF(UNIT_SYSTEM="SI",IF(M3="","",M3),IF(N3="","",N3))</f>
        <v/>
      </c>
      <c r="F3" s="178">
        <f>IF(UNIT_SYSTEM="SI",IF(O3="","",O3),IF(P3="","",P3))</f>
        <v/>
      </c>
      <c r="G3" s="185" t="n">
        <v>0.274</v>
      </c>
      <c r="H3" s="177" t="inlineStr">
        <is>
          <t>Table 9F.3M / 9F.3: J_R = C_R (da)^nR; SI J kJ/m2, da mm; US J in-lb/in2, da in; typical values - actual data preferred</t>
        </is>
      </c>
      <c r="I3" s="179" t="n">
        <v>288</v>
      </c>
      <c r="J3" s="179" t="n">
        <v>550</v>
      </c>
      <c r="K3" s="180" t="n">
        <v>25</v>
      </c>
      <c r="L3" s="180" t="n">
        <v>1</v>
      </c>
      <c r="M3" s="179" t="n">
        <v>105</v>
      </c>
      <c r="N3" s="179" t="n">
        <v>600</v>
      </c>
      <c r="O3" s="179" t="n">
        <v>185</v>
      </c>
      <c r="P3" s="179" t="n">
        <v>2563</v>
      </c>
    </row>
    <row r="4" ht="15" customHeight="1" s="92">
      <c r="A4" s="169" t="inlineStr">
        <is>
          <t>GENERIC_CS-3</t>
        </is>
      </c>
      <c r="B4" s="169" t="inlineStr">
        <is>
          <t>Generic CS-3</t>
        </is>
      </c>
      <c r="C4" s="170">
        <f>IF(UNIT_SYSTEM="SI",IF(I4="","",I4),IF(J4="","",J4))</f>
        <v/>
      </c>
      <c r="D4" s="172">
        <f>IF(UNIT_SYSTEM="SI",IF(K4="","",K4),IF(L4="","",L4))</f>
        <v/>
      </c>
      <c r="E4" s="170">
        <f>IF(UNIT_SYSTEM="SI",IF(M4="","",M4),IF(N4="","",N4))</f>
        <v/>
      </c>
      <c r="F4" s="170">
        <f>IF(UNIT_SYSTEM="SI",IF(O4="","",O4),IF(P4="","",P4))</f>
        <v/>
      </c>
      <c r="G4" s="172" t="n">
        <v>0.344</v>
      </c>
      <c r="H4" s="169" t="inlineStr">
        <is>
          <t>Table 9F.3M / 9F.3: J_R = C_R (da)^nR; SI J kJ/m2, da mm; US J in-lb/in2, da in; typical values - actual data preferred</t>
        </is>
      </c>
      <c r="I4" s="173" t="n">
        <v>288</v>
      </c>
      <c r="J4" s="173" t="n">
        <v>550</v>
      </c>
      <c r="K4" s="174" t="n">
        <v>25</v>
      </c>
      <c r="L4" s="174" t="n">
        <v>1</v>
      </c>
      <c r="M4" s="173" t="n">
        <v>184</v>
      </c>
      <c r="N4" s="173" t="n">
        <v>1050</v>
      </c>
      <c r="O4" s="173" t="n">
        <v>311</v>
      </c>
      <c r="P4" s="173" t="n">
        <v>5400</v>
      </c>
    </row>
    <row r="5" ht="15" customHeight="1" s="92">
      <c r="A5" s="177" t="inlineStr">
        <is>
          <t>T_304_SS</t>
        </is>
      </c>
      <c r="B5" s="177" t="inlineStr">
        <is>
          <t>T 304 SS</t>
        </is>
      </c>
      <c r="C5" s="185">
        <f>IF(UNIT_SYSTEM="SI",IF(I5="","",I5),IF(J5="","",J5))</f>
        <v/>
      </c>
      <c r="D5" s="185">
        <f>IF(UNIT_SYSTEM="SI",IF(K5="","",K5),IF(L5="","",L5))</f>
        <v/>
      </c>
      <c r="E5" s="178">
        <f>IF(UNIT_SYSTEM="SI",IF(M5="","",M5),IF(N5="","",N5))</f>
        <v/>
      </c>
      <c r="F5" s="178">
        <f>IF(UNIT_SYSTEM="SI",IF(O5="","",O5),IF(P5="","",P5))</f>
        <v/>
      </c>
      <c r="G5" s="185" t="n">
        <v>0.519</v>
      </c>
      <c r="H5" s="177" t="inlineStr">
        <is>
          <t>Table 9F.3M / 9F.3: J_R = C_R (da)^nR; SI J kJ/m2, da mm; US J in-lb/in2, da in; typical values - actual data preferred</t>
        </is>
      </c>
      <c r="I5" s="180" t="n">
        <v>24</v>
      </c>
      <c r="J5" s="180" t="n">
        <v>75</v>
      </c>
      <c r="K5" s="180" t="n">
        <v>25</v>
      </c>
      <c r="L5" s="180" t="n">
        <v>1</v>
      </c>
      <c r="M5" s="179" t="n">
        <v>1138</v>
      </c>
      <c r="N5" s="179" t="n">
        <v>6500</v>
      </c>
      <c r="O5" s="179" t="n">
        <v>1070</v>
      </c>
      <c r="P5" s="179" t="n">
        <v>32758</v>
      </c>
    </row>
    <row r="6" ht="15" customHeight="1" s="92">
      <c r="A6" s="169" t="inlineStr">
        <is>
          <t>GENERIC_SS_SMAW</t>
        </is>
      </c>
      <c r="B6" s="169" t="inlineStr">
        <is>
          <t>Generic SS/SMAW</t>
        </is>
      </c>
      <c r="C6" s="170">
        <f>IF(UNIT_SYSTEM="SI",IF(I6="","",I6),IF(J6="","",J6))</f>
        <v/>
      </c>
      <c r="D6" s="172">
        <f>IF(UNIT_SYSTEM="SI",IF(K6="","",K6),IF(L6="","",L6))</f>
        <v/>
      </c>
      <c r="E6" s="170">
        <f>IF(UNIT_SYSTEM="SI",IF(M6="","",M6),IF(N6="","",N6))</f>
        <v/>
      </c>
      <c r="F6" s="170">
        <f>IF(UNIT_SYSTEM="SI",IF(O6="","",O6),IF(P6="","",P6))</f>
        <v/>
      </c>
      <c r="G6" s="172" t="n">
        <v>0.391</v>
      </c>
      <c r="H6" s="169" t="inlineStr">
        <is>
          <t>Table 9F.3M / 9F.3: J_R = C_R (da)^nR; SI J kJ/m2, da mm; US J in-lb/in2, da in; typical values - actual data preferred</t>
        </is>
      </c>
      <c r="I6" s="173" t="n">
        <v>288</v>
      </c>
      <c r="J6" s="173" t="n">
        <v>550</v>
      </c>
      <c r="K6" s="174" t="n">
        <v>25</v>
      </c>
      <c r="L6" s="174" t="n">
        <v>1</v>
      </c>
      <c r="M6" s="173" t="n">
        <v>173</v>
      </c>
      <c r="N6" s="173" t="n">
        <v>990</v>
      </c>
      <c r="O6" s="173" t="n">
        <v>298</v>
      </c>
      <c r="P6" s="173" t="n">
        <v>6033</v>
      </c>
    </row>
    <row r="7" ht="15" customHeight="1" s="92">
      <c r="A7" s="177" t="inlineStr">
        <is>
          <t>GENERIC_SS_SAW</t>
        </is>
      </c>
      <c r="B7" s="177" t="inlineStr">
        <is>
          <t>Generic SS/SAW</t>
        </is>
      </c>
      <c r="C7" s="178">
        <f>IF(UNIT_SYSTEM="SI",IF(I7="","",I7),IF(J7="","",J7))</f>
        <v/>
      </c>
      <c r="D7" s="185">
        <f>IF(UNIT_SYSTEM="SI",IF(K7="","",K7),IF(L7="","",L7))</f>
        <v/>
      </c>
      <c r="E7" s="178">
        <f>IF(UNIT_SYSTEM="SI",IF(M7="","",M7),IF(N7="","",N7))</f>
        <v/>
      </c>
      <c r="F7" s="178">
        <f>IF(UNIT_SYSTEM="SI",IF(O7="","",O7),IF(P7="","",P7))</f>
        <v/>
      </c>
      <c r="G7" s="185" t="n">
        <v>0.431</v>
      </c>
      <c r="H7" s="177" t="inlineStr">
        <is>
          <t>Table 9F.3M / 9F.3: J_R = C_R (da)^nR; SI J kJ/m2, da mm; US J in-lb/in2, da in; typical values - actual data preferred</t>
        </is>
      </c>
      <c r="I7" s="179" t="n">
        <v>288</v>
      </c>
      <c r="J7" s="179" t="n">
        <v>550</v>
      </c>
      <c r="K7" s="180" t="n">
        <v>25</v>
      </c>
      <c r="L7" s="180" t="n">
        <v>1</v>
      </c>
      <c r="M7" s="179" t="n">
        <v>114</v>
      </c>
      <c r="N7" s="179" t="n">
        <v>650</v>
      </c>
      <c r="O7" s="179" t="n">
        <v>193</v>
      </c>
      <c r="P7" s="179" t="n">
        <v>4448</v>
      </c>
    </row>
    <row r="8" ht="15" customHeight="1" s="92">
      <c r="A8" s="169" t="inlineStr">
        <is>
          <t>A508_CL3</t>
        </is>
      </c>
      <c r="B8" s="169" t="inlineStr">
        <is>
          <t>A508 Cl3</t>
        </is>
      </c>
      <c r="C8" s="170">
        <f>IF(UNIT_SYSTEM="SI",IF(I8="","",I8),IF(J8="","",J8))</f>
        <v/>
      </c>
      <c r="D8" s="172">
        <f>IF(UNIT_SYSTEM="SI",IF(K8="","",K8),IF(L8="","",L8))</f>
        <v/>
      </c>
      <c r="E8" s="172">
        <f>IF(UNIT_SYSTEM="SI",IF(M8="","",M8),IF(N8="","",N8))</f>
        <v/>
      </c>
      <c r="F8" s="170">
        <f>IF(UNIT_SYSTEM="SI",IF(O8="","",O8),IF(P8="","",P8))</f>
        <v/>
      </c>
      <c r="G8" s="172" t="n">
        <v>0.329</v>
      </c>
      <c r="H8" s="169" t="inlineStr">
        <is>
          <t>Table 9F.3M / 9F.3: J_R = C_R (da)^nR; SI J kJ/m2, da mm; US J in-lb/in2, da in; typical values - actual data preferred</t>
        </is>
      </c>
      <c r="I8" s="173" t="n">
        <v>288</v>
      </c>
      <c r="J8" s="173" t="n">
        <v>550</v>
      </c>
      <c r="K8" s="174" t="n">
        <v>35</v>
      </c>
      <c r="L8" s="174" t="n">
        <v>1.378</v>
      </c>
      <c r="M8" s="174" t="n">
        <v>78</v>
      </c>
      <c r="N8" s="173" t="n">
        <v>446</v>
      </c>
      <c r="O8" s="173" t="n">
        <v>208</v>
      </c>
      <c r="P8" s="173" t="n">
        <v>3443</v>
      </c>
    </row>
    <row r="9" ht="15" customHeight="1" s="92">
      <c r="A9" s="177" t="inlineStr">
        <is>
          <t>A106_GR_B_NPS_8_PIPE</t>
        </is>
      </c>
      <c r="B9" s="177" t="inlineStr">
        <is>
          <t>A106 Gr B (NPS 8 pipe)</t>
        </is>
      </c>
      <c r="C9" s="185">
        <f>IF(UNIT_SYSTEM="SI",IF(I9="","",I9),IF(J9="","",J9))</f>
        <v/>
      </c>
      <c r="D9" s="185">
        <f>IF(UNIT_SYSTEM="SI",IF(K9="","",K9),IF(L9="","",L9))</f>
        <v/>
      </c>
      <c r="E9" s="178">
        <f>IF(UNIT_SYSTEM="SI",IF(M9="","",M9),IF(N9="","",N9))</f>
        <v/>
      </c>
      <c r="F9" s="178">
        <f>IF(UNIT_SYSTEM="SI",IF(O9="","",O9),IF(P9="","",P9))</f>
        <v/>
      </c>
      <c r="G9" s="185" t="n">
        <v>0.334</v>
      </c>
      <c r="H9" s="177" t="inlineStr">
        <is>
          <t>Table 9F.3M / 9F.3: J_R = C_R (da)^nR; SI J kJ/m2, da mm; US J in-lb/in2, da in; typical values - actual data preferred</t>
        </is>
      </c>
      <c r="I9" s="180" t="n">
        <v>49</v>
      </c>
      <c r="J9" s="179" t="n">
        <v>120</v>
      </c>
      <c r="K9" s="180" t="n">
        <v>14</v>
      </c>
      <c r="L9" s="180" t="n">
        <v>0.54</v>
      </c>
      <c r="M9" s="179" t="n">
        <v>508</v>
      </c>
      <c r="N9" s="179" t="n">
        <v>2900</v>
      </c>
      <c r="O9" s="179" t="n">
        <v>773</v>
      </c>
      <c r="P9" s="179" t="n">
        <v>13008</v>
      </c>
    </row>
    <row r="10" ht="15" customHeight="1" s="92">
      <c r="A10" s="169" t="inlineStr">
        <is>
          <t>TP_304_SS_NPS_4_PIPE</t>
        </is>
      </c>
      <c r="B10" s="169" t="inlineStr">
        <is>
          <t>TP 304 SS (NPS 4 pipe)</t>
        </is>
      </c>
      <c r="C10" s="172">
        <f>IF(UNIT_SYSTEM="SI",IF(I10="","",I10),IF(J10="","",J10))</f>
        <v/>
      </c>
      <c r="D10" s="172">
        <f>IF(UNIT_SYSTEM="SI",IF(K10="","",K10),IF(L10="","",L10))</f>
        <v/>
      </c>
      <c r="E10" s="170">
        <f>IF(UNIT_SYSTEM="SI",IF(M10="","",M10),IF(N10="","",N10))</f>
        <v/>
      </c>
      <c r="F10" s="170">
        <f>IF(UNIT_SYSTEM="SI",IF(O10="","",O10),IF(P10="","",P10))</f>
        <v/>
      </c>
      <c r="G10" s="172" t="n">
        <v>0.435</v>
      </c>
      <c r="H10" s="169" t="inlineStr">
        <is>
          <t>Table 9F.3M / 9F.3: J_R = C_R (da)^nR; SI J kJ/m2, da mm; US J in-lb/in2, da in; typical values - actual data preferred</t>
        </is>
      </c>
      <c r="I10" s="174" t="n">
        <v>24</v>
      </c>
      <c r="J10" s="174" t="n">
        <v>75</v>
      </c>
      <c r="K10" s="174" t="n">
        <v>9</v>
      </c>
      <c r="L10" s="174" t="n">
        <v>0.34</v>
      </c>
      <c r="M10" s="173" t="n">
        <v>1401</v>
      </c>
      <c r="N10" s="173" t="n">
        <v>8000</v>
      </c>
      <c r="O10" s="173" t="n">
        <v>1443</v>
      </c>
      <c r="P10" s="173" t="n">
        <v>33642</v>
      </c>
    </row>
    <row r="12" ht="15" customHeight="1" s="92">
      <c r="A12" s="115" t="inlineStr">
        <is>
          <t>API 579 Table 9F.3M (SI) / 9F.3 (FPS): J_R = C_R (da)^nR. Typical values - actual values should be used when available. Values follow the Unit System drop-down on the Cover sheet.</t>
        </is>
      </c>
    </row>
  </sheetData>
  <autoFilter ref="A1:P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9" customWidth="1" style="91" min="1" max="1"/>
    <col width="34" customWidth="1" style="91" min="2" max="2"/>
  </cols>
  <sheetData>
    <row r="1" ht="30" customHeight="1" s="92">
      <c r="A1" s="167" t="inlineStr">
        <is>
          <t>number of tests</t>
        </is>
      </c>
      <c r="B1" s="167" t="inlineStr">
        <is>
          <t>equivalent to minimum of three</t>
        </is>
      </c>
    </row>
    <row r="2" ht="15" customHeight="1" s="92">
      <c r="A2" s="169" t="inlineStr">
        <is>
          <t>3 - 5</t>
        </is>
      </c>
      <c r="B2" s="169" t="inlineStr">
        <is>
          <t>Lowest value</t>
        </is>
      </c>
    </row>
    <row r="3" ht="15" customHeight="1" s="92">
      <c r="A3" s="177" t="inlineStr">
        <is>
          <t>6 - 10</t>
        </is>
      </c>
      <c r="B3" s="177" t="inlineStr">
        <is>
          <t>Second lowest</t>
        </is>
      </c>
    </row>
    <row r="4" ht="15" customHeight="1" s="92">
      <c r="A4" s="169" t="inlineStr">
        <is>
          <t>11 - 15</t>
        </is>
      </c>
      <c r="B4" s="169" t="inlineStr">
        <is>
          <t>Third lowest</t>
        </is>
      </c>
    </row>
    <row r="5" ht="15" customHeight="1" s="92">
      <c r="A5" s="177" t="inlineStr">
        <is>
          <t>16 - 20</t>
        </is>
      </c>
      <c r="B5" s="177" t="inlineStr">
        <is>
          <t>Fourth lowest</t>
        </is>
      </c>
    </row>
    <row r="6" ht="15" customHeight="1" s="92">
      <c r="A6" s="169" t="inlineStr">
        <is>
          <t>21 - 25</t>
        </is>
      </c>
      <c r="B6" s="169" t="inlineStr">
        <is>
          <t>Fifth lowest</t>
        </is>
      </c>
    </row>
    <row r="7" ht="15" customHeight="1" s="92">
      <c r="A7" s="177" t="inlineStr">
        <is>
          <t>26 - 30</t>
        </is>
      </c>
      <c r="B7" s="177" t="inlineStr">
        <is>
          <t>Sixth lowest</t>
        </is>
      </c>
    </row>
    <row r="9" ht="15" customHeight="1" s="92">
      <c r="A9" s="115" t="inlineStr">
        <is>
          <t>API 579 Table 9F.1; Note 2 scatter check applies to three results</t>
        </is>
      </c>
    </row>
  </sheetData>
  <autoFilter ref="A1:B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08080"/>
    <outlinePr summaryBelow="1" summaryRight="1"/>
    <pageSetUpPr fitToPage="1"/>
  </sheetPr>
  <dimension ref="A1:B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1" min="1" max="2"/>
    <col width="24" customWidth="1" style="91" min="3" max="3"/>
    <col width="15" customWidth="1" style="91" min="4" max="4"/>
    <col width="14" customWidth="1" style="91" min="5" max="7"/>
    <col width="21" customWidth="1" style="91" min="8" max="8"/>
    <col width="14" customWidth="1" style="91" min="9" max="11"/>
    <col width="24" customWidth="1" style="91" min="12" max="12"/>
    <col width="15" customWidth="1" style="91" min="13" max="13"/>
    <col width="14" customWidth="1" style="91" min="14" max="14"/>
    <col width="20" customWidth="1" style="91" min="15" max="15"/>
    <col width="14" customWidth="1" style="91" min="16" max="20"/>
    <col width="17" customWidth="1" style="91" min="21" max="21"/>
    <col width="14" customWidth="1" style="91" min="22" max="22"/>
    <col width="18" customWidth="1" style="91" min="23" max="23"/>
    <col width="14" customWidth="1" style="91" min="24" max="25"/>
    <col width="18" customWidth="1" style="91" min="26" max="26"/>
    <col width="93" customWidth="1" style="91" min="27" max="27"/>
    <col width="50" customWidth="1" style="91" min="28" max="28"/>
    <col width="44" customWidth="1" style="91" min="29" max="29"/>
    <col width="50" customWidth="1" style="91" min="30" max="30"/>
    <col width="14" customWidth="1" style="91" min="31" max="32"/>
    <col width="21" customWidth="1" style="91" min="33" max="33"/>
    <col width="15" customWidth="1" style="91" min="34" max="35"/>
    <col width="14" customWidth="1" style="91" min="36" max="36"/>
    <col width="33" customWidth="1" style="91" min="37" max="37"/>
    <col width="14" customWidth="1" style="91" min="38" max="38"/>
    <col width="21" customWidth="1" style="91" min="39" max="39"/>
    <col width="17" customWidth="1" style="91" min="40" max="40"/>
    <col width="24" customWidth="1" style="91" min="41" max="41"/>
    <col width="14" customWidth="1" style="91" min="42" max="44"/>
    <col width="15" customWidth="1" style="91" min="45" max="45"/>
    <col width="14" customWidth="1" style="91" min="46" max="46"/>
    <col width="20" customWidth="1" style="91" min="47" max="47"/>
    <col width="14" customWidth="1" style="91" min="48" max="48"/>
    <col width="22" customWidth="1" style="91" min="49" max="49"/>
    <col width="18" customWidth="1" style="91" min="50" max="52"/>
    <col width="21" customWidth="1" style="91" min="53" max="53"/>
    <col width="19" customWidth="1" style="91" min="54" max="54"/>
    <col width="18" customWidth="1" style="91" min="55" max="55"/>
    <col width="14" customWidth="1" style="91" min="56" max="58"/>
    <col width="28" customWidth="1" style="91" min="59" max="59"/>
  </cols>
  <sheetData>
    <row r="1" ht="23.85" customHeight="1" s="92">
      <c r="A1" s="190" t="inlineStr">
        <is>
          <t>FLAW_OPTION</t>
        </is>
      </c>
      <c r="B1" s="190" t="inlineStr">
        <is>
          <t>PROJ_PLANE</t>
        </is>
      </c>
      <c r="C1" s="190" t="inlineStr">
        <is>
          <t>STRENGTH_SOURCE</t>
        </is>
      </c>
      <c r="D1" s="190" t="inlineStr">
        <is>
          <t>LRMAX_MODE</t>
        </is>
      </c>
      <c r="E1" s="190" t="inlineStr">
        <is>
          <t>CONSTRAINT</t>
        </is>
      </c>
      <c r="F1" s="190" t="inlineStr">
        <is>
          <t>DATA_STATUS</t>
        </is>
      </c>
      <c r="G1" s="190" t="inlineStr">
        <is>
          <t>YES_NO</t>
        </is>
      </c>
      <c r="H1" s="190" t="inlineStr">
        <is>
          <t>TOUGHNESS_METHOD</t>
        </is>
      </c>
      <c r="I1" s="190" t="inlineStr">
        <is>
          <t>SS_CONDITION</t>
        </is>
      </c>
      <c r="J1" s="190" t="inlineStr">
        <is>
          <t>LOWER_MEAN</t>
        </is>
      </c>
      <c r="K1" s="190" t="inlineStr">
        <is>
          <t>LOWER_MEDIAN</t>
        </is>
      </c>
      <c r="L1" s="190" t="inlineStr">
        <is>
          <t>TREF_MODE</t>
        </is>
      </c>
      <c r="M1" s="190" t="inlineStr">
        <is>
          <t>CURVE_MODE</t>
        </is>
      </c>
      <c r="N1" s="190" t="inlineStr">
        <is>
          <t>XI_CURVE</t>
        </is>
      </c>
      <c r="O1" s="190" t="inlineStr">
        <is>
          <t>T0_MODE</t>
        </is>
      </c>
      <c r="P1" s="190" t="inlineStr">
        <is>
          <t>SULFUR</t>
        </is>
      </c>
      <c r="Q1" s="190" t="inlineStr">
        <is>
          <t>L_MODE</t>
        </is>
      </c>
      <c r="R1" s="190" t="inlineStr">
        <is>
          <t>US_LIMIT</t>
        </is>
      </c>
      <c r="S1" s="190" t="inlineStr">
        <is>
          <t>H2_SHIFT</t>
        </is>
      </c>
      <c r="T1" s="190" t="inlineStr">
        <is>
          <t>US_OPTION</t>
        </is>
      </c>
      <c r="U1" s="190" t="inlineStr">
        <is>
          <t>CRMO_ROUTE</t>
        </is>
      </c>
      <c r="V1" s="190" t="inlineStr">
        <is>
          <t>CRMO_VINTAGE</t>
        </is>
      </c>
      <c r="W1" s="190" t="inlineStr">
        <is>
          <t>R_BASIS</t>
        </is>
      </c>
      <c r="X1" s="190" t="inlineStr">
        <is>
          <t>WELD_EQ</t>
        </is>
      </c>
      <c r="Y1" s="190" t="inlineStr">
        <is>
          <t>RE_MODE</t>
        </is>
      </c>
      <c r="Z1" s="190" t="inlineStr">
        <is>
          <t>STRESS_MODE</t>
        </is>
      </c>
      <c r="AA1" s="190" t="inlineStr">
        <is>
          <t>STRESS_DIST</t>
        </is>
      </c>
      <c r="AB1" s="190" t="inlineStr">
        <is>
          <t>STRESS_INPUT</t>
        </is>
      </c>
      <c r="AC1" s="190" t="inlineStr">
        <is>
          <t>STRESS_INPUT_KPSCL1</t>
        </is>
      </c>
      <c r="AD1" s="190" t="inlineStr">
        <is>
          <t>STRESS_INPUT_KPSCL2</t>
        </is>
      </c>
      <c r="AE1" s="190" t="inlineStr">
        <is>
          <t>RS_METHOD</t>
        </is>
      </c>
      <c r="AF1" s="190" t="inlineStr">
        <is>
          <t>RS_METHOD_S</t>
        </is>
      </c>
      <c r="AG1" s="190" t="inlineStr">
        <is>
          <t>YS_BASIS</t>
        </is>
      </c>
      <c r="AH1" s="190" t="inlineStr">
        <is>
          <t>WELD_COND</t>
        </is>
      </c>
      <c r="AI1" s="190" t="inlineStr">
        <is>
          <t>DIRECTION</t>
        </is>
      </c>
      <c r="AJ1" s="190" t="inlineStr">
        <is>
          <t>PT_CREDIT</t>
        </is>
      </c>
      <c r="AK1" s="190" t="inlineStr">
        <is>
          <t>PROFILE</t>
        </is>
      </c>
      <c r="AL1" s="190" t="inlineStr">
        <is>
          <t>WELD_TYPE</t>
        </is>
      </c>
      <c r="AM1" s="190" t="inlineStr">
        <is>
          <t>JOINT</t>
        </is>
      </c>
      <c r="AN1" s="190" t="inlineStr">
        <is>
          <t>MATERIAL_FILTER</t>
        </is>
      </c>
      <c r="AO1" s="190" t="inlineStr">
        <is>
          <t>FLAW_BASIS</t>
        </is>
      </c>
      <c r="AP1" s="190" t="inlineStr">
        <is>
          <t>XI_CAP</t>
        </is>
      </c>
      <c r="AQ1" s="190" t="inlineStr">
        <is>
          <t>PF</t>
        </is>
      </c>
      <c r="AR1" s="190" t="inlineStr">
        <is>
          <t>LIFE_MARGIN</t>
        </is>
      </c>
      <c r="AS1" s="190" t="inlineStr">
        <is>
          <t>INSP_FRACTION</t>
        </is>
      </c>
      <c r="AT1" s="190" t="inlineStr">
        <is>
          <t>CW_STOP</t>
        </is>
      </c>
      <c r="AU1" s="190" t="inlineStr">
        <is>
          <t>SPEC_TEXT</t>
        </is>
      </c>
      <c r="AV1" s="190" t="inlineStr">
        <is>
          <t>JR_SOURCE</t>
        </is>
      </c>
      <c r="AW1" s="190" t="inlineStr">
        <is>
          <t>JR_IDS</t>
        </is>
      </c>
      <c r="AX1" s="190" t="inlineStr">
        <is>
          <t>MATERIAL_IDS</t>
        </is>
      </c>
      <c r="AY1" s="190" t="inlineStr">
        <is>
          <t>MAT_ALL</t>
        </is>
      </c>
      <c r="AZ1" s="190" t="inlineStr">
        <is>
          <t>MAT_CARBON_STEEL</t>
        </is>
      </c>
      <c r="BA1" s="190" t="inlineStr">
        <is>
          <t>MAT_LOW_ALLOY_STEEL</t>
        </is>
      </c>
      <c r="BB1" s="190" t="inlineStr">
        <is>
          <t>MAT_AUSTENITIC_SS</t>
        </is>
      </c>
      <c r="BC1" s="190" t="inlineStr">
        <is>
          <t>MAT_REFERENCE</t>
        </is>
      </c>
      <c r="BD1" s="190" t="inlineStr">
        <is>
          <t>XI_CAP_SI</t>
        </is>
      </c>
      <c r="BE1" s="190" t="inlineStr">
        <is>
          <t>XI_CAP_FPS</t>
        </is>
      </c>
      <c r="BF1" s="190" t="inlineStr">
        <is>
          <t>UNIT_SYSTEM</t>
        </is>
      </c>
      <c r="BG1" s="190" t="inlineStr">
        <is>
          <t>GROWTH_IDS</t>
        </is>
      </c>
    </row>
    <row r="2" ht="15" customHeight="1" s="92">
      <c r="A2" s="177" t="inlineStr">
        <is>
          <t>OPTION_1</t>
        </is>
      </c>
      <c r="B2" s="177" t="inlineStr">
        <is>
          <t>SIGMA1</t>
        </is>
      </c>
      <c r="C2" s="177" t="inlineStr">
        <is>
          <t>DATABASE_SPEC_MIN</t>
        </is>
      </c>
      <c r="D2" s="177" t="inlineStr">
        <is>
          <t>FROM_DATABASE</t>
        </is>
      </c>
      <c r="E2" s="177" t="inlineStr">
        <is>
          <t>plane_strain</t>
        </is>
      </c>
      <c r="F2" s="177" t="inlineStr">
        <is>
          <t>NOT_APPROVED</t>
        </is>
      </c>
      <c r="G2" s="177" t="inlineStr">
        <is>
          <t>YES</t>
        </is>
      </c>
      <c r="H2" s="177" t="inlineStr">
        <is>
          <t>PROJECT_KMAT</t>
        </is>
      </c>
      <c r="I2" s="177" t="inlineStr">
        <is>
          <t>WROUGHT</t>
        </is>
      </c>
      <c r="J2" s="177" t="inlineStr">
        <is>
          <t>LOWER</t>
        </is>
      </c>
      <c r="K2" s="177" t="inlineStr">
        <is>
          <t>LOWER</t>
        </is>
      </c>
      <c r="L2" s="177" t="inlineStr">
        <is>
          <t>DIRECT</t>
        </is>
      </c>
      <c r="M2" s="177" t="inlineStr">
        <is>
          <t>FROM_DATABASE</t>
        </is>
      </c>
      <c r="N2" s="177" t="inlineStr">
        <is>
          <t>KIC</t>
        </is>
      </c>
      <c r="O2" s="177" t="inlineStr">
        <is>
          <t>DIRECT</t>
        </is>
      </c>
      <c r="P2" s="177" t="inlineStr">
        <is>
          <t>LOW</t>
        </is>
      </c>
      <c r="Q2" s="177" t="inlineStr">
        <is>
          <t>AUTO</t>
        </is>
      </c>
      <c r="R2" s="177" t="inlineStr">
        <is>
          <t>NONE</t>
        </is>
      </c>
      <c r="S2" s="177" t="inlineStr">
        <is>
          <t>NONE</t>
        </is>
      </c>
      <c r="T2" s="177" t="inlineStr">
        <is>
          <t>A</t>
        </is>
      </c>
      <c r="U2" s="177" t="inlineStr">
        <is>
          <t>CR125_XBAR</t>
        </is>
      </c>
      <c r="V2" s="177" t="inlineStr">
        <is>
          <t>POST_1990</t>
        </is>
      </c>
      <c r="W2" s="177" t="inlineStr">
        <is>
          <t>INCLUDE_RESIDUAL</t>
        </is>
      </c>
      <c r="X2" s="177" t="inlineStr">
        <is>
          <t>9F140</t>
        </is>
      </c>
      <c r="Y2" s="177" t="inlineStr">
        <is>
          <t>AUTO</t>
        </is>
      </c>
      <c r="Z2" s="177" t="inlineStr">
        <is>
          <t>MEMBRANE_BENDING</t>
        </is>
      </c>
      <c r="AA2" s="177" t="inlineStr">
        <is>
          <t>Through-Wall Fourth Order Polynomial Stress Distribution - KPSCL1 (9B.3.2) / RPSCL (9C.3.2)</t>
        </is>
      </c>
      <c r="AB2" s="177" t="inlineStr">
        <is>
          <t>Membrane + Bending (Pm, Pb, Sm, Sb)</t>
        </is>
      </c>
      <c r="AC2" s="177" t="inlineStr">
        <is>
          <t>Membrane + Bending (Pm, Pb, Sm, Sb)</t>
        </is>
      </c>
      <c r="AD2" s="177" t="inlineStr">
        <is>
          <t>Membrane + Bending (Pm, Pb, Sm, Sb)</t>
        </is>
      </c>
      <c r="AE2" s="177" t="inlineStr">
        <is>
          <t>NONE</t>
        </is>
      </c>
      <c r="AF2" s="177" t="inlineStr">
        <is>
          <t>NONE</t>
        </is>
      </c>
      <c r="AG2" s="177" t="inlineStr">
        <is>
          <t>ESTIMATED_FROM_SMYS</t>
        </is>
      </c>
      <c r="AH2" s="177" t="inlineStr">
        <is>
          <t>PWHT_UNIFORM</t>
        </is>
      </c>
      <c r="AI2" s="177" t="inlineStr">
        <is>
          <t>PERPENDICULAR</t>
        </is>
      </c>
      <c r="AJ2" s="177" t="inlineStr">
        <is>
          <t>NONE</t>
        </is>
      </c>
      <c r="AK2" s="177" t="inlineStr">
        <is>
          <t>LONGITUDINAL_SEAM_PERPENDICULAR</t>
        </is>
      </c>
      <c r="AL2" s="177" t="inlineStr">
        <is>
          <t>BUTT_WELD</t>
        </is>
      </c>
      <c r="AM2" s="177" t="inlineStr">
        <is>
          <t>FULL_PENETRATION</t>
        </is>
      </c>
      <c r="AN2" s="177" t="inlineStr">
        <is>
          <t>ALL</t>
        </is>
      </c>
      <c r="AO2" s="177" t="inlineStr">
        <is>
          <t>CURRENT_INSPECTED_FLAW</t>
        </is>
      </c>
      <c r="AP2" s="177" t="n">
        <v>110</v>
      </c>
      <c r="AQ2" s="177" t="n">
        <v>0.05</v>
      </c>
      <c r="AR2" s="177" t="n">
        <v>1</v>
      </c>
      <c r="AS2" s="177" t="n">
        <v>0.25</v>
      </c>
      <c r="AT2" s="177" t="n">
        <v>0.9</v>
      </c>
      <c r="AU2" s="177" t="inlineStr">
        <is>
          <t>SA-36</t>
        </is>
      </c>
      <c r="AV2" s="177" t="inlineStr">
        <is>
          <t>TABLE_9F3</t>
        </is>
      </c>
      <c r="AW2" s="177" t="inlineStr">
        <is>
          <t>GENERIC_CS-1</t>
        </is>
      </c>
      <c r="AX2" s="177" t="inlineStr">
        <is>
          <t>REFERENCE_CS_350</t>
        </is>
      </c>
      <c r="AY2" s="177" t="inlineStr">
        <is>
          <t>REFERENCE_CS_350</t>
        </is>
      </c>
      <c r="AZ2" s="177" t="inlineStr">
        <is>
          <t>SA-36</t>
        </is>
      </c>
      <c r="BA2" s="177" t="inlineStr">
        <is>
          <t>SA-387-11-CL2</t>
        </is>
      </c>
      <c r="BB2" s="177" t="inlineStr">
        <is>
          <t>SA-240-304</t>
        </is>
      </c>
      <c r="BC2" s="177" t="inlineStr">
        <is>
          <t>REFERENCE_CS_350</t>
        </is>
      </c>
      <c r="BD2" s="177" t="n">
        <v>110</v>
      </c>
      <c r="BE2" s="177" t="n">
        <v>100</v>
      </c>
      <c r="BF2" s="177" t="inlineStr">
        <is>
          <t>SI</t>
        </is>
      </c>
      <c r="BG2" s="177" t="inlineStr">
        <is>
          <t>FROM_MATERIAL_DB</t>
        </is>
      </c>
    </row>
    <row r="3" ht="15" customHeight="1" s="92">
      <c r="A3" s="177" t="inlineStr">
        <is>
          <t>OPTION_2</t>
        </is>
      </c>
      <c r="B3" s="177" t="inlineStr">
        <is>
          <t>SIGMA2</t>
        </is>
      </c>
      <c r="C3" s="177" t="inlineStr">
        <is>
          <t>PROJECT_AT_TEMPERATURE</t>
        </is>
      </c>
      <c r="D3" s="177" t="inlineStr">
        <is>
          <t>YIELD_PLATEAU</t>
        </is>
      </c>
      <c r="E3" s="177" t="inlineStr">
        <is>
          <t>plane_stress</t>
        </is>
      </c>
      <c r="F3" s="177" t="inlineStr">
        <is>
          <t>APPROVED</t>
        </is>
      </c>
      <c r="G3" s="177" t="inlineStr">
        <is>
          <t>NO</t>
        </is>
      </c>
      <c r="H3" s="177" t="inlineStr">
        <is>
          <t>PROJECT_TEST_SET</t>
        </is>
      </c>
      <c r="I3" s="177" t="inlineStr">
        <is>
          <t>GTA_WELD</t>
        </is>
      </c>
      <c r="J3" s="177" t="inlineStr">
        <is>
          <t>MEAN</t>
        </is>
      </c>
      <c r="K3" s="177" t="inlineStr">
        <is>
          <t>MEDIAN</t>
        </is>
      </c>
      <c r="L3" s="177" t="inlineStr">
        <is>
          <t>EQ_9F29</t>
        </is>
      </c>
      <c r="M3" s="177" t="inlineStr">
        <is>
          <t>A</t>
        </is>
      </c>
      <c r="N3" s="177" t="inlineStr">
        <is>
          <t>KIR</t>
        </is>
      </c>
      <c r="O3" s="177" t="inlineStr">
        <is>
          <t>OPTION_A_EXEMPTION</t>
        </is>
      </c>
      <c r="P3" s="177" t="inlineStr">
        <is>
          <t>HIGH</t>
        </is>
      </c>
      <c r="Q3" s="177" t="inlineStr">
        <is>
          <t>USER</t>
        </is>
      </c>
      <c r="R3" s="177" t="inlineStr">
        <is>
          <t>9F44</t>
        </is>
      </c>
      <c r="S3" s="177" t="inlineStr">
        <is>
          <t>H2_225CR1MO</t>
        </is>
      </c>
      <c r="T3" s="177" t="inlineStr">
        <is>
          <t>B</t>
        </is>
      </c>
      <c r="U3" s="177" t="inlineStr">
        <is>
          <t>CR225_J_BASE</t>
        </is>
      </c>
      <c r="V3" s="177" t="inlineStr">
        <is>
          <t>1975_1990</t>
        </is>
      </c>
      <c r="W3" s="177" t="inlineStr">
        <is>
          <t>APPLIED_ONLY</t>
        </is>
      </c>
      <c r="X3" s="177" t="inlineStr">
        <is>
          <t>PARIS</t>
        </is>
      </c>
      <c r="Y3" s="177" t="inlineStr">
        <is>
          <t>APPLY</t>
        </is>
      </c>
      <c r="Z3" s="177" t="inlineStr">
        <is>
          <t>POLYNOMIAL_4TH</t>
        </is>
      </c>
      <c r="AA3" s="177" t="inlineStr">
        <is>
          <t>Through-Wall Arbitrary Stress Distribution - KPSCL2 (9B.3.3) / RPSCL (9C.3.3)</t>
        </is>
      </c>
      <c r="AB3" s="177" t="inlineStr">
        <is>
          <t>Polynomial coefficients (sigma0 to sigma4)</t>
        </is>
      </c>
      <c r="AC3" s="177" t="inlineStr">
        <is>
          <t>Polynomial coefficients (sigma0 to sigma4)</t>
        </is>
      </c>
      <c r="AD3" s="177" t="inlineStr">
        <is>
          <t>Point-by-point profile (sheet 5B_Stress_Profile)</t>
        </is>
      </c>
      <c r="AE3" s="177" t="inlineStr">
        <is>
          <t>USER_DEFINED</t>
        </is>
      </c>
      <c r="AF3" s="177" t="inlineStr">
        <is>
          <t>USER_DEFINED</t>
        </is>
      </c>
      <c r="AG3" s="177" t="inlineStr">
        <is>
          <t>ACTUAL</t>
        </is>
      </c>
      <c r="AH3" s="177" t="inlineStr">
        <is>
          <t>AS_WELDED</t>
        </is>
      </c>
      <c r="AI3" s="177" t="inlineStr">
        <is>
          <t>PARALLEL</t>
        </is>
      </c>
      <c r="AK3" s="177" t="inlineStr">
        <is>
          <t>TEE_MAIN_PLATE_PERPENDICULAR</t>
        </is>
      </c>
      <c r="AL3" s="177" t="inlineStr">
        <is>
          <t>FILLET_WELD</t>
        </is>
      </c>
      <c r="AM3" s="177" t="inlineStr">
        <is>
          <t>PARTIAL_PENETRATION</t>
        </is>
      </c>
      <c r="AN3" s="177" t="inlineStr">
        <is>
          <t>CARBON_STEEL</t>
        </is>
      </c>
      <c r="AO3" s="177" t="inlineStr">
        <is>
          <t>ASSUMED_INITIAL_FLAW</t>
        </is>
      </c>
      <c r="AP3" s="177" t="n">
        <v>220</v>
      </c>
      <c r="AQ3" s="177" t="n">
        <v>0.01</v>
      </c>
      <c r="AR3" s="177" t="n">
        <v>1.5</v>
      </c>
      <c r="AS3" s="177" t="n">
        <v>0.33</v>
      </c>
      <c r="AT3" s="177" t="n">
        <v>0.95</v>
      </c>
      <c r="AU3" s="177" t="inlineStr">
        <is>
          <t>SA-285 Gr C</t>
        </is>
      </c>
      <c r="AV3" s="177" t="inlineStr">
        <is>
          <t>CVN_9F130</t>
        </is>
      </c>
      <c r="AW3" s="177" t="inlineStr">
        <is>
          <t>GENERIC_CS-2</t>
        </is>
      </c>
      <c r="AX3" s="177" t="inlineStr">
        <is>
          <t>SA-36</t>
        </is>
      </c>
      <c r="AY3" s="177" t="inlineStr">
        <is>
          <t>SA-36</t>
        </is>
      </c>
      <c r="AZ3" s="177" t="inlineStr">
        <is>
          <t>SA-285-C</t>
        </is>
      </c>
      <c r="BA3" s="177" t="inlineStr">
        <is>
          <t>SA-387-22-CL2</t>
        </is>
      </c>
      <c r="BB3" s="177" t="inlineStr">
        <is>
          <t>SA-240-304L</t>
        </is>
      </c>
      <c r="BD3" s="177" t="n">
        <v>220</v>
      </c>
      <c r="BE3" s="177" t="n">
        <v>200</v>
      </c>
      <c r="BF3" s="177" t="inlineStr">
        <is>
          <t>FPS</t>
        </is>
      </c>
      <c r="BG3" s="177" t="inlineStr">
        <is>
          <t>PROJECT_MATERIAL_DATA</t>
        </is>
      </c>
    </row>
    <row r="4" ht="15" customHeight="1" s="92">
      <c r="D4" s="177" t="inlineStr">
        <is>
          <t>ASTM_A508</t>
        </is>
      </c>
      <c r="H4" s="177" t="inlineStr">
        <is>
          <t>9F412_AUSTENITIC_JC</t>
        </is>
      </c>
      <c r="I4" s="177" t="inlineStr">
        <is>
          <t>SA_WELD</t>
        </is>
      </c>
      <c r="L4" s="177" t="inlineStr">
        <is>
          <t>TABLE_9_2</t>
        </is>
      </c>
      <c r="M4" s="177" t="inlineStr">
        <is>
          <t>B</t>
        </is>
      </c>
      <c r="O4" s="177" t="inlineStr">
        <is>
          <t>OPTION_D_J_TEST</t>
        </is>
      </c>
      <c r="S4" s="177" t="inlineStr">
        <is>
          <t>H2_225CR1MOV</t>
        </is>
      </c>
      <c r="U4" s="177" t="inlineStr">
        <is>
          <t>CR225_XBAR_WELD</t>
        </is>
      </c>
      <c r="V4" s="177" t="inlineStr">
        <is>
          <t>PRE_1975</t>
        </is>
      </c>
      <c r="W4" s="177" t="inlineStr">
        <is>
          <t>FORCE_R_GE_0_5</t>
        </is>
      </c>
      <c r="Y4" s="177" t="inlineStr">
        <is>
          <t>NONE</t>
        </is>
      </c>
      <c r="AB4" s="177" t="inlineStr">
        <is>
          <t>Point-by-point profile (sheet 5B_Stress_Profile)</t>
        </is>
      </c>
      <c r="AE4" s="177" t="inlineStr">
        <is>
          <t>ANNEX_9D</t>
        </is>
      </c>
      <c r="AF4" s="177" t="inlineStr">
        <is>
          <t>ANNEX_9D</t>
        </is>
      </c>
      <c r="AH4" s="177" t="inlineStr">
        <is>
          <t>UNIFORM_YIELD</t>
        </is>
      </c>
      <c r="AL4" s="177" t="inlineStr">
        <is>
          <t>TEE_JOINT</t>
        </is>
      </c>
      <c r="AM4" s="177" t="inlineStr">
        <is>
          <t>NOT_APPLICABLE</t>
        </is>
      </c>
      <c r="AN4" s="177" t="inlineStr">
        <is>
          <t>LOW_ALLOY_STEEL</t>
        </is>
      </c>
      <c r="AP4" s="177" t="n">
        <v>100</v>
      </c>
      <c r="AQ4" s="177" t="n">
        <v>0.1</v>
      </c>
      <c r="AR4" s="177" t="n">
        <v>2</v>
      </c>
      <c r="AS4" s="177" t="n">
        <v>0.5</v>
      </c>
      <c r="AT4" s="177" t="n">
        <v>0.99</v>
      </c>
      <c r="AU4" s="177" t="inlineStr">
        <is>
          <t>SA-515 Gr 60</t>
        </is>
      </c>
      <c r="AV4" s="177" t="inlineStr">
        <is>
          <t>PROJECT</t>
        </is>
      </c>
      <c r="AW4" s="177" t="inlineStr">
        <is>
          <t>GENERIC_CS-3</t>
        </is>
      </c>
      <c r="AX4" s="177" t="inlineStr">
        <is>
          <t>SA-285-C</t>
        </is>
      </c>
      <c r="AY4" s="177" t="inlineStr">
        <is>
          <t>SA-285-C</t>
        </is>
      </c>
      <c r="AZ4" s="177" t="inlineStr">
        <is>
          <t>SA-515-60</t>
        </is>
      </c>
      <c r="BA4" s="177" t="inlineStr">
        <is>
          <t>SA-335-P11</t>
        </is>
      </c>
      <c r="BB4" s="177" t="inlineStr">
        <is>
          <t>SA-240-316</t>
        </is>
      </c>
      <c r="BG4" s="177" t="inlineStr">
        <is>
          <t>PROJECT_USER_PARIS</t>
        </is>
      </c>
    </row>
    <row r="5" ht="15" customHeight="1" s="92">
      <c r="D5" s="177" t="inlineStr">
        <is>
          <t>C_MN_STEEL</t>
        </is>
      </c>
      <c r="H5" s="177" t="inlineStr">
        <is>
          <t>9F42_ASME_XI_LOWER</t>
        </is>
      </c>
      <c r="L5" s="177" t="inlineStr">
        <is>
          <t>TABLE_9_2_CONSERVATIVE</t>
        </is>
      </c>
      <c r="M5" s="177" t="inlineStr">
        <is>
          <t>C</t>
        </is>
      </c>
      <c r="S5" s="177" t="inlineStr">
        <is>
          <t>USER</t>
        </is>
      </c>
      <c r="AF5" s="177" t="inlineStr">
        <is>
          <t>USER_PROFILE</t>
        </is>
      </c>
      <c r="AL5" s="177" t="inlineStr">
        <is>
          <t>REPAIR_WELD</t>
        </is>
      </c>
      <c r="AN5" s="177" t="inlineStr">
        <is>
          <t>AUSTENITIC_SS</t>
        </is>
      </c>
      <c r="AP5" s="177" t="n">
        <v>200</v>
      </c>
      <c r="AQ5" s="177" t="n">
        <v>0.5</v>
      </c>
      <c r="AR5" s="177" t="n">
        <v>3</v>
      </c>
      <c r="AS5" s="177" t="n">
        <v>1</v>
      </c>
      <c r="AU5" s="177" t="inlineStr">
        <is>
          <t>SA-515 Gr 70</t>
        </is>
      </c>
      <c r="AW5" s="177" t="inlineStr">
        <is>
          <t>T_304_SS</t>
        </is>
      </c>
      <c r="AX5" s="177" t="inlineStr">
        <is>
          <t>SA-515-60</t>
        </is>
      </c>
      <c r="AY5" s="177" t="inlineStr">
        <is>
          <t>SA-515-60</t>
        </is>
      </c>
      <c r="AZ5" s="177" t="inlineStr">
        <is>
          <t>SA-515-70</t>
        </is>
      </c>
      <c r="BA5" s="177" t="inlineStr">
        <is>
          <t>SA-335-P22</t>
        </is>
      </c>
      <c r="BB5" s="177" t="inlineStr">
        <is>
          <t>SA-240-316L</t>
        </is>
      </c>
      <c r="BG5" s="177" t="inlineStr">
        <is>
          <t>9F4M_MARTENSITIC_AIR</t>
        </is>
      </c>
    </row>
    <row r="6" ht="15" customHeight="1" s="92">
      <c r="D6" s="177" t="inlineStr">
        <is>
          <t>AUSTENITIC_SS</t>
        </is>
      </c>
      <c r="H6" s="177" t="inlineStr">
        <is>
          <t>9F43_MASTER_CURVE</t>
        </is>
      </c>
      <c r="M6" s="177" t="inlineStr">
        <is>
          <t>D</t>
        </is>
      </c>
      <c r="AL6" s="177" t="inlineStr">
        <is>
          <t>NOT_WELDED</t>
        </is>
      </c>
      <c r="AN6" s="177" t="inlineStr">
        <is>
          <t>REFERENCE</t>
        </is>
      </c>
      <c r="AR6" s="177" t="n">
        <v>4</v>
      </c>
      <c r="AU6" s="177" t="inlineStr">
        <is>
          <t>SA-516 Gr 55</t>
        </is>
      </c>
      <c r="AW6" s="177" t="inlineStr">
        <is>
          <t>GENERIC_SS_SMAW</t>
        </is>
      </c>
      <c r="AX6" s="177" t="inlineStr">
        <is>
          <t>SA-515-70</t>
        </is>
      </c>
      <c r="AY6" s="177" t="inlineStr">
        <is>
          <t>SA-515-70</t>
        </is>
      </c>
      <c r="AZ6" s="177" t="inlineStr">
        <is>
          <t>SA-516-55</t>
        </is>
      </c>
      <c r="BA6" s="177" t="inlineStr">
        <is>
          <t>SA-182-F22-CL3</t>
        </is>
      </c>
      <c r="BB6" s="177" t="inlineStr">
        <is>
          <t>SA-240-321</t>
        </is>
      </c>
      <c r="BG6" s="177" t="inlineStr">
        <is>
          <t>9F4M_FERRITIC_PEARLITE_AIR</t>
        </is>
      </c>
    </row>
    <row r="7" ht="15" customHeight="1" s="92">
      <c r="D7" s="177" t="inlineStr">
        <is>
          <t>FLOW_STRESS</t>
        </is>
      </c>
      <c r="H7" s="177" t="inlineStr">
        <is>
          <t>9F44_UPPER_SHELF</t>
        </is>
      </c>
      <c r="AU7" s="177" t="inlineStr">
        <is>
          <t>SA-516 Gr 60</t>
        </is>
      </c>
      <c r="AW7" s="177" t="inlineStr">
        <is>
          <t>GENERIC_SS_SAW</t>
        </is>
      </c>
      <c r="AX7" s="177" t="inlineStr">
        <is>
          <t>SA-516-55</t>
        </is>
      </c>
      <c r="AY7" s="177" t="inlineStr">
        <is>
          <t>SA-516-55</t>
        </is>
      </c>
      <c r="AZ7" s="177" t="inlineStr">
        <is>
          <t>SA-516-60</t>
        </is>
      </c>
      <c r="BA7" s="177" t="inlineStr">
        <is>
          <t>SA-508-3-CL1</t>
        </is>
      </c>
      <c r="BB7" s="177" t="inlineStr">
        <is>
          <t>SA-240-347</t>
        </is>
      </c>
      <c r="BG7" s="177" t="inlineStr">
        <is>
          <t>9F4M_AUSTENITIC_SS_AIR</t>
        </is>
      </c>
    </row>
    <row r="8" ht="15" customHeight="1" s="92">
      <c r="D8" s="177" t="inlineStr">
        <is>
          <t>UNKNOWN</t>
        </is>
      </c>
      <c r="H8" s="177" t="inlineStr">
        <is>
          <t>9F45_DYNAMIC</t>
        </is>
      </c>
      <c r="AU8" s="177" t="inlineStr">
        <is>
          <t>SA-516 Gr 65</t>
        </is>
      </c>
      <c r="AW8" s="177" t="inlineStr">
        <is>
          <t>A508_CL3</t>
        </is>
      </c>
      <c r="AX8" s="177" t="inlineStr">
        <is>
          <t>SA-516-60</t>
        </is>
      </c>
      <c r="AY8" s="177" t="inlineStr">
        <is>
          <t>SA-516-60</t>
        </is>
      </c>
      <c r="AZ8" s="177" t="inlineStr">
        <is>
          <t>SA-516-65</t>
        </is>
      </c>
      <c r="BA8" s="177" t="inlineStr">
        <is>
          <t>SA-533-B-CL1</t>
        </is>
      </c>
      <c r="BB8" s="177" t="inlineStr">
        <is>
          <t>SA-312-TP304</t>
        </is>
      </c>
      <c r="BG8" s="177" t="inlineStr">
        <is>
          <t>9F5M_WELD_UPPER</t>
        </is>
      </c>
    </row>
    <row r="9" ht="15" customHeight="1" s="92">
      <c r="H9" s="177" t="inlineStr">
        <is>
          <t>9F45_ARREST</t>
        </is>
      </c>
      <c r="AU9" s="177" t="inlineStr">
        <is>
          <t>SA-516 Gr 70</t>
        </is>
      </c>
      <c r="AW9" s="177" t="inlineStr">
        <is>
          <t>A106_GR_B_NPS_8_PIPE</t>
        </is>
      </c>
      <c r="AX9" s="177" t="inlineStr">
        <is>
          <t>SA-516-65</t>
        </is>
      </c>
      <c r="AY9" s="177" t="inlineStr">
        <is>
          <t>SA-516-65</t>
        </is>
      </c>
      <c r="AZ9" s="177" t="inlineStr">
        <is>
          <t>SA-516-70</t>
        </is>
      </c>
      <c r="BB9" s="177" t="inlineStr">
        <is>
          <t>SA-312-TP316L</t>
        </is>
      </c>
      <c r="BG9" s="177" t="inlineStr">
        <is>
          <t>9F5M_WELD_MEAN</t>
        </is>
      </c>
    </row>
    <row r="10" ht="15" customHeight="1" s="92">
      <c r="H10" s="177" t="inlineStr">
        <is>
          <t>9F47_CRMO_AGING</t>
        </is>
      </c>
      <c r="AU10" s="177" t="inlineStr">
        <is>
          <t>SA-537 Cl 1</t>
        </is>
      </c>
      <c r="AW10" s="177" t="inlineStr">
        <is>
          <t>TP_304_SS_NPS_4_PIPE</t>
        </is>
      </c>
      <c r="AX10" s="177" t="inlineStr">
        <is>
          <t>SA-516-70</t>
        </is>
      </c>
      <c r="AY10" s="177" t="inlineStr">
        <is>
          <t>SA-516-70</t>
        </is>
      </c>
      <c r="AZ10" s="177" t="inlineStr">
        <is>
          <t>SA-516-70N</t>
        </is>
      </c>
      <c r="BG10" s="177" t="inlineStr">
        <is>
          <t>9F6M_AIR_LE100C</t>
        </is>
      </c>
    </row>
    <row r="11" ht="15" customHeight="1" s="92">
      <c r="AU11" s="177" t="inlineStr">
        <is>
          <t>SA-106 Gr B</t>
        </is>
      </c>
      <c r="AX11" s="177" t="inlineStr">
        <is>
          <t>SA-516-70N</t>
        </is>
      </c>
      <c r="AY11" s="177" t="inlineStr">
        <is>
          <t>SA-516-70N</t>
        </is>
      </c>
      <c r="AZ11" s="177" t="inlineStr">
        <is>
          <t>SA-537-CL1</t>
        </is>
      </c>
      <c r="BG11" s="177" t="inlineStr">
        <is>
          <t>9F6M_AIR_100_600C</t>
        </is>
      </c>
    </row>
    <row r="12" ht="15" customHeight="1" s="92">
      <c r="AU12" s="177" t="inlineStr">
        <is>
          <t>SA-106 Gr C</t>
        </is>
      </c>
      <c r="AX12" s="177" t="inlineStr">
        <is>
          <t>SA-537-CL1</t>
        </is>
      </c>
      <c r="AY12" s="177" t="inlineStr">
        <is>
          <t>SA-537-CL1</t>
        </is>
      </c>
      <c r="AZ12" s="177" t="inlineStr">
        <is>
          <t>SA-106-B</t>
        </is>
      </c>
      <c r="BG12" s="177" t="inlineStr">
        <is>
          <t>9F6M_MARINE_CP</t>
        </is>
      </c>
    </row>
    <row r="13" ht="15" customHeight="1" s="92">
      <c r="AU13" s="177" t="inlineStr">
        <is>
          <t>SA-53 Gr B</t>
        </is>
      </c>
      <c r="AX13" s="177" t="inlineStr">
        <is>
          <t>SA-106-B</t>
        </is>
      </c>
      <c r="AY13" s="177" t="inlineStr">
        <is>
          <t>SA-106-B</t>
        </is>
      </c>
      <c r="AZ13" s="177" t="inlineStr">
        <is>
          <t>SA-106-C</t>
        </is>
      </c>
      <c r="BG13" s="177" t="inlineStr">
        <is>
          <t>9F6M_MARINE_FREE</t>
        </is>
      </c>
    </row>
    <row r="14" ht="15" customHeight="1" s="92">
      <c r="AU14" s="177" t="inlineStr">
        <is>
          <t>SA-333 Gr 6</t>
        </is>
      </c>
      <c r="AX14" s="177" t="inlineStr">
        <is>
          <t>SA-106-C</t>
        </is>
      </c>
      <c r="AY14" s="177" t="inlineStr">
        <is>
          <t>SA-106-C</t>
        </is>
      </c>
      <c r="AZ14" s="177" t="inlineStr">
        <is>
          <t>SA-53-B</t>
        </is>
      </c>
      <c r="BG14" s="177" t="inlineStr">
        <is>
          <t>9F7M_AIR_UPPER</t>
        </is>
      </c>
    </row>
    <row r="15" ht="15" customHeight="1" s="92">
      <c r="AU15" s="177" t="inlineStr">
        <is>
          <t>SA-234 WPB</t>
        </is>
      </c>
      <c r="AX15" s="177" t="inlineStr">
        <is>
          <t>SA-53-B</t>
        </is>
      </c>
      <c r="AY15" s="177" t="inlineStr">
        <is>
          <t>SA-53-B</t>
        </is>
      </c>
      <c r="AZ15" s="177" t="inlineStr">
        <is>
          <t>SA-333-6</t>
        </is>
      </c>
      <c r="BG15" s="177" t="inlineStr">
        <is>
          <t>9F7M_AIR_MEAN</t>
        </is>
      </c>
    </row>
    <row r="16" ht="15" customHeight="1" s="92">
      <c r="AU16" s="177" t="inlineStr">
        <is>
          <t>SA-105</t>
        </is>
      </c>
      <c r="AX16" s="177" t="inlineStr">
        <is>
          <t>SA-333-6</t>
        </is>
      </c>
      <c r="AY16" s="177" t="inlineStr">
        <is>
          <t>SA-333-6</t>
        </is>
      </c>
      <c r="AZ16" s="177" t="inlineStr">
        <is>
          <t>SA-234-WPB</t>
        </is>
      </c>
      <c r="BG16" s="177" t="inlineStr">
        <is>
          <t>9F7M_MARINE_FREE_UPPER</t>
        </is>
      </c>
    </row>
    <row r="17" ht="15" customHeight="1" s="92">
      <c r="AU17" s="177" t="inlineStr">
        <is>
          <t>SA-350 LF2 Cl 1</t>
        </is>
      </c>
      <c r="AX17" s="177" t="inlineStr">
        <is>
          <t>SA-234-WPB</t>
        </is>
      </c>
      <c r="AY17" s="177" t="inlineStr">
        <is>
          <t>SA-234-WPB</t>
        </is>
      </c>
      <c r="AZ17" s="177" t="inlineStr">
        <is>
          <t>SA-105</t>
        </is>
      </c>
      <c r="BG17" s="177" t="inlineStr">
        <is>
          <t>9F7M_MARINE_FREE_MEAN</t>
        </is>
      </c>
    </row>
    <row r="18" ht="15" customHeight="1" s="92">
      <c r="AU18" s="177" t="inlineStr">
        <is>
          <t>API 5L X52 PSL2</t>
        </is>
      </c>
      <c r="AX18" s="177" t="inlineStr">
        <is>
          <t>SA-105</t>
        </is>
      </c>
      <c r="AY18" s="177" t="inlineStr">
        <is>
          <t>SA-105</t>
        </is>
      </c>
      <c r="AZ18" s="177" t="inlineStr">
        <is>
          <t>SA-350-LF2</t>
        </is>
      </c>
      <c r="BG18" s="177" t="inlineStr">
        <is>
          <t>9F7M_MARINE_CP850_UPPER</t>
        </is>
      </c>
    </row>
    <row r="19" ht="15" customHeight="1" s="92">
      <c r="AU19" s="177" t="inlineStr">
        <is>
          <t>API 5L X60 PSL2</t>
        </is>
      </c>
      <c r="AX19" s="177" t="inlineStr">
        <is>
          <t>SA-350-LF2</t>
        </is>
      </c>
      <c r="AY19" s="177" t="inlineStr">
        <is>
          <t>SA-350-LF2</t>
        </is>
      </c>
      <c r="AZ19" s="177" t="inlineStr">
        <is>
          <t>API-5L-X52</t>
        </is>
      </c>
      <c r="BG19" s="177" t="inlineStr">
        <is>
          <t>9F7M_MARINE_CP850_MEAN</t>
        </is>
      </c>
    </row>
    <row r="20" ht="15" customHeight="1" s="92">
      <c r="AU20" s="177" t="inlineStr">
        <is>
          <t>API 5L X65 PSL2</t>
        </is>
      </c>
      <c r="AX20" s="177" t="inlineStr">
        <is>
          <t>API-5L-X52</t>
        </is>
      </c>
      <c r="AY20" s="177" t="inlineStr">
        <is>
          <t>API-5L-X52</t>
        </is>
      </c>
      <c r="AZ20" s="177" t="inlineStr">
        <is>
          <t>API-5L-X60</t>
        </is>
      </c>
      <c r="BG20" s="177" t="inlineStr">
        <is>
          <t>9F7M_MARINE_CP1100_UPPER</t>
        </is>
      </c>
    </row>
    <row r="21" ht="15" customHeight="1" s="92">
      <c r="AU21" s="177" t="inlineStr">
        <is>
          <t>API 5L X70 PSL2</t>
        </is>
      </c>
      <c r="AX21" s="177" t="inlineStr">
        <is>
          <t>API-5L-X60</t>
        </is>
      </c>
      <c r="AY21" s="177" t="inlineStr">
        <is>
          <t>API-5L-X60</t>
        </is>
      </c>
      <c r="AZ21" s="177" t="inlineStr">
        <is>
          <t>API-5L-X65</t>
        </is>
      </c>
      <c r="BG21" s="177" t="inlineStr">
        <is>
          <t>9F7M_MARINE_CP1100_MEAN</t>
        </is>
      </c>
    </row>
    <row r="22" ht="15" customHeight="1" s="92">
      <c r="AU22" s="177" t="inlineStr">
        <is>
          <t>SA-387 Gr 11 Cl 2</t>
        </is>
      </c>
      <c r="AX22" s="177" t="inlineStr">
        <is>
          <t>API-5L-X65</t>
        </is>
      </c>
      <c r="AY22" s="177" t="inlineStr">
        <is>
          <t>API-5L-X65</t>
        </is>
      </c>
      <c r="AZ22" s="177" t="inlineStr">
        <is>
          <t>API-5L-X70</t>
        </is>
      </c>
      <c r="BG22" s="177" t="inlineStr">
        <is>
          <t>9F9M_BARSOM_FP</t>
        </is>
      </c>
    </row>
    <row r="23" ht="15" customHeight="1" s="92">
      <c r="AU23" s="177" t="inlineStr">
        <is>
          <t>SA-387 Gr 22 Cl 2</t>
        </is>
      </c>
      <c r="AX23" s="177" t="inlineStr">
        <is>
          <t>API-5L-X70</t>
        </is>
      </c>
      <c r="AY23" s="177" t="inlineStr">
        <is>
          <t>API-5L-X70</t>
        </is>
      </c>
      <c r="BG23" s="177" t="inlineStr">
        <is>
          <t>9F9M_X65_AQUEOUS</t>
        </is>
      </c>
    </row>
    <row r="24" ht="15" customHeight="1" s="92">
      <c r="AU24" s="177" t="inlineStr">
        <is>
          <t>SA-335 P11</t>
        </is>
      </c>
      <c r="AX24" s="177" t="inlineStr">
        <is>
          <t>SA-387-11-CL2</t>
        </is>
      </c>
      <c r="AY24" s="177" t="inlineStr">
        <is>
          <t>SA-387-11-CL2</t>
        </is>
      </c>
      <c r="BG24" s="177" t="inlineStr">
        <is>
          <t>9F9M_GRADE_B</t>
        </is>
      </c>
    </row>
    <row r="25" ht="15" customHeight="1" s="92">
      <c r="AU25" s="177" t="inlineStr">
        <is>
          <t>SA-335 P22</t>
        </is>
      </c>
      <c r="AX25" s="177" t="inlineStr">
        <is>
          <t>SA-387-22-CL2</t>
        </is>
      </c>
      <c r="AY25" s="177" t="inlineStr">
        <is>
          <t>SA-387-22-CL2</t>
        </is>
      </c>
      <c r="BG25" s="177" t="inlineStr">
        <is>
          <t>9F9M_X52_DOE</t>
        </is>
      </c>
    </row>
    <row r="26" ht="15" customHeight="1" s="92">
      <c r="AU26" s="177" t="inlineStr">
        <is>
          <t>SA-182 F22 Cl 3</t>
        </is>
      </c>
      <c r="AX26" s="177" t="inlineStr">
        <is>
          <t>SA-335-P11</t>
        </is>
      </c>
      <c r="AY26" s="177" t="inlineStr">
        <is>
          <t>SA-335-P11</t>
        </is>
      </c>
      <c r="BG26" s="177" t="inlineStr">
        <is>
          <t>9F9M_TMCP</t>
        </is>
      </c>
    </row>
    <row r="27" ht="15" customHeight="1" s="92">
      <c r="AU27" s="177" t="inlineStr">
        <is>
          <t>SA-508 Gr 3 Cl 1</t>
        </is>
      </c>
      <c r="AX27" s="177" t="inlineStr">
        <is>
          <t>SA-335-P22</t>
        </is>
      </c>
      <c r="AY27" s="177" t="inlineStr">
        <is>
          <t>SA-335-P22</t>
        </is>
      </c>
      <c r="BG27" s="177" t="inlineStr">
        <is>
          <t>9F9M_VINTAGE_DC_ERW</t>
        </is>
      </c>
    </row>
    <row r="28" ht="15" customHeight="1" s="92">
      <c r="AU28" s="177" t="inlineStr">
        <is>
          <t>SA-533 Type B Cl 1</t>
        </is>
      </c>
      <c r="AX28" s="177" t="inlineStr">
        <is>
          <t>SA-182-F22-CL3</t>
        </is>
      </c>
      <c r="AY28" s="177" t="inlineStr">
        <is>
          <t>SA-182-F22-CL3</t>
        </is>
      </c>
      <c r="BG28" s="177" t="inlineStr">
        <is>
          <t>9F9M_VINTAGE_KAISER_SSAW</t>
        </is>
      </c>
    </row>
    <row r="29" ht="15" customHeight="1" s="92">
      <c r="AU29" s="177" t="inlineStr">
        <is>
          <t>SA-240 304</t>
        </is>
      </c>
      <c r="AX29" s="177" t="inlineStr">
        <is>
          <t>SA-508-3-CL1</t>
        </is>
      </c>
      <c r="AY29" s="177" t="inlineStr">
        <is>
          <t>SA-508-3-CL1</t>
        </is>
      </c>
      <c r="BG29" s="177" t="inlineStr">
        <is>
          <t>9F9M_VINTAGE_AO_SMITH</t>
        </is>
      </c>
    </row>
    <row r="30" ht="15" customHeight="1" s="92">
      <c r="AU30" s="177" t="inlineStr">
        <is>
          <t>SA-240 304L</t>
        </is>
      </c>
      <c r="AX30" s="177" t="inlineStr">
        <is>
          <t>SA-533-B-CL1</t>
        </is>
      </c>
      <c r="AY30" s="177" t="inlineStr">
        <is>
          <t>SA-533-B-CL1</t>
        </is>
      </c>
      <c r="BG30" s="177" t="inlineStr">
        <is>
          <t>9F9M_X60_SCC_FATIGUE</t>
        </is>
      </c>
    </row>
    <row r="31" ht="15" customHeight="1" s="92">
      <c r="AU31" s="177" t="inlineStr">
        <is>
          <t>SA-240 316</t>
        </is>
      </c>
      <c r="AX31" s="177" t="inlineStr">
        <is>
          <t>SA-240-304</t>
        </is>
      </c>
      <c r="AY31" s="177" t="inlineStr">
        <is>
          <t>SA-240-304</t>
        </is>
      </c>
      <c r="BG31" s="177" t="inlineStr">
        <is>
          <t>9F9M_X52_ERW_AIR</t>
        </is>
      </c>
    </row>
    <row r="32" ht="15" customHeight="1" s="92">
      <c r="AU32" s="177" t="inlineStr">
        <is>
          <t>SA-240 316L</t>
        </is>
      </c>
      <c r="AX32" s="177" t="inlineStr">
        <is>
          <t>SA-240-304L</t>
        </is>
      </c>
      <c r="AY32" s="177" t="inlineStr">
        <is>
          <t>SA-240-304L</t>
        </is>
      </c>
      <c r="BG32" s="177" t="inlineStr">
        <is>
          <t>9F9M_X52_ERW_NACL</t>
        </is>
      </c>
    </row>
    <row r="33" ht="15" customHeight="1" s="92">
      <c r="AU33" s="177" t="inlineStr">
        <is>
          <t>SA-240 321</t>
        </is>
      </c>
      <c r="AX33" s="177" t="inlineStr">
        <is>
          <t>SA-240-316</t>
        </is>
      </c>
      <c r="AY33" s="177" t="inlineStr">
        <is>
          <t>SA-240-316</t>
        </is>
      </c>
      <c r="BG33" s="177" t="inlineStr">
        <is>
          <t>9F9M_X65_AIR</t>
        </is>
      </c>
    </row>
    <row r="34" ht="15" customHeight="1" s="92">
      <c r="AU34" s="177" t="inlineStr">
        <is>
          <t>SA-240 347</t>
        </is>
      </c>
      <c r="AX34" s="177" t="inlineStr">
        <is>
          <t>SA-240-316L</t>
        </is>
      </c>
      <c r="AY34" s="177" t="inlineStr">
        <is>
          <t>SA-240-316L</t>
        </is>
      </c>
      <c r="BG34" s="177" t="inlineStr">
        <is>
          <t>9F9M_X65_SWEAT_CRUDE</t>
        </is>
      </c>
    </row>
    <row r="35" ht="15" customHeight="1" s="92">
      <c r="AU35" s="177" t="inlineStr">
        <is>
          <t>SA-312 TP304</t>
        </is>
      </c>
      <c r="AX35" s="177" t="inlineStr">
        <is>
          <t>SA-240-321</t>
        </is>
      </c>
      <c r="AY35" s="177" t="inlineStr">
        <is>
          <t>SA-240-321</t>
        </is>
      </c>
      <c r="BG35" s="177" t="inlineStr">
        <is>
          <t>9F9M_X65_SOUR_CRUDE</t>
        </is>
      </c>
    </row>
    <row r="36" ht="15" customHeight="1" s="92">
      <c r="AU36" s="177" t="inlineStr">
        <is>
          <t>SA-312 TP316L</t>
        </is>
      </c>
      <c r="AX36" s="177" t="inlineStr">
        <is>
          <t>SA-240-347</t>
        </is>
      </c>
      <c r="AY36" s="177" t="inlineStr">
        <is>
          <t>SA-240-347</t>
        </is>
      </c>
      <c r="BG36" s="177" t="inlineStr">
        <is>
          <t>9F5339_SOUR_CRUDE</t>
        </is>
      </c>
    </row>
    <row r="37" ht="15" customHeight="1" s="92">
      <c r="AX37" s="177" t="inlineStr">
        <is>
          <t>SA-312-TP304</t>
        </is>
      </c>
      <c r="AY37" s="177" t="inlineStr">
        <is>
          <t>SA-312-TP304</t>
        </is>
      </c>
      <c r="BG37" s="177" t="inlineStr">
        <is>
          <t>9F5339_SWEAT_CRUDE</t>
        </is>
      </c>
    </row>
    <row r="38" ht="15" customHeight="1" s="92">
      <c r="AX38" s="177" t="inlineStr">
        <is>
          <t>SA-312-TP316L</t>
        </is>
      </c>
      <c r="AY38" s="177" t="inlineStr">
        <is>
          <t>SA-312-TP316L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2026-10-06T12:55:34Z</dcterms:created>
  <dcterms:modified xmlns:dcterms="http://purl.org/dc/terms/" xmlns:xsi="http://www.w3.org/2001/XMLSchema-instance" xsi:type="dcterms:W3CDTF">2026-10-11T04:38:36Z</dcterms:modified>
  <cp:revision>0</cp:revision>
</cp:coreProperties>
</file>